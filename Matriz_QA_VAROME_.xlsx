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d45aea7cc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53056e3cb02435d"/>
    <x:sheet xmlns:r="http://schemas.openxmlformats.org/officeDocument/2006/relationships" name="Matriz QA" sheetId="2" r:id="Rcf33ba2d3aa0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6"/>
      <x:color rgb="FF0A2540"/>
      <x:name val="Arial"/>
    </x:font>
    <x:font>
      <x:i/>
      <x:sz val="10"/>
      <x:color rgb="FF526775"/>
      <x:name val="Arial"/>
    </x:font>
    <x:font>
      <x:b/>
      <x:sz val="11"/>
      <x:color rgb="FF0A2540"/>
      <x:name val="Arial"/>
    </x:font>
    <x:font>
      <x:b/>
      <x:sz val="10"/>
      <x:color rgb="FFFFFFFF"/>
      <x:name val="Arial"/>
    </x:font>
    <x:font>
      <x:sz val="10"/>
      <x:color rgb="FF172B3A"/>
      <x:name val="Arial"/>
    </x:font>
    <x:font>
      <x:i/>
      <x:sz val="9"/>
      <x:color rgb="FF526775"/>
      <x:name val="Arial"/>
    </x:font>
    <x:font>
      <x:sz val="11"/>
      <x:name val="Arial"/>
    </x:font>
    <x:font>
      <x:b/>
      <x:sz val="15"/>
      <x:color rgb="FF0A2540"/>
      <x:name val="Arial"/>
    </x:font>
    <x:font>
      <x:sz val="9"/>
      <x:color rgb="FF172B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4F8"/>
      </x:patternFill>
    </x:fill>
    <x:fill>
      <x:patternFill patternType="solid">
        <x:fgColor rgb="FF0A2540"/>
      </x:patternFill>
    </x:fill>
    <x:fill>
      <x:patternFill patternType="solid">
        <x:fgColor rgb="FFF3F6F8"/>
      </x:patternFill>
    </x:fill>
    <x:fill>
      <x:patternFill patternType="solid">
        <x:fgColor rgb="FF0D6EAA"/>
      </x:patternFill>
    </x:fill>
  </x:fills>
  <x:borders count="8">
    <x:border/>
    <x:border>
      <x:bottom style="thin">
        <x:color rgb="FF18B7D6"/>
      </x:bottom>
    </x:border>
    <x:border>
      <x:bottom style="thin">
        <x:color rgb="FFC9D5DD"/>
      </x:bottom>
    </x:border>
    <x:border>
      <x:top style="thin">
        <x:color rgb="FFC9D5DD"/>
      </x:top>
      <x:bottom style="thin">
        <x:color rgb="FFC9D5DD"/>
      </x:bottom>
    </x:border>
    <x:border>
      <x:top style="thin">
        <x:color rgb="FFC9D5DD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7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horizontal="center" vertical="top" wrapText="1"/>
    </x:xf>
    <x:xf numFmtId="0" fontId="9" fillId="0" borderId="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7643A"/>
      </x:font>
      <x:fill>
        <x:patternFill>
          <x:bgColor rgb="FFDDF3E4"/>
        </x:patternFill>
      </x:fill>
    </x:dxf>
    <x:dxf>
      <x:font>
        <x:b/>
        <x:color rgb="FF8A5A00"/>
      </x:font>
      <x:fill>
        <x:patternFill>
          <x:bgColor rgb="FFFFF1CC"/>
        </x:patternFill>
      </x:fill>
    </x:dxf>
    <x:dxf>
      <x:font>
        <x:b/>
        <x:color rgb="FFA61B1B"/>
      </x:font>
      <x:fill>
        <x:patternFill>
          <x:bgColor rgb="FFFDE2E2"/>
        </x:patternFill>
      </x:fill>
    </x:dxf>
    <x:dxf>
      <x:font>
        <x:b/>
        <x:color rgb="FF5E3A87"/>
      </x:font>
      <x:fill>
        <x:patternFill>
          <x:bgColor rgb="FFE8E0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0db9f31d2e47fb" /><Relationship Type="http://schemas.openxmlformats.org/officeDocument/2006/relationships/theme" Target="/xl/theme/theme1.xml" Id="R5edcf877463d4cbf" /><Relationship Type="http://schemas.openxmlformats.org/officeDocument/2006/relationships/sharedStrings" Target="/xl/sharedStrings.xml" Id="Rc60cce4a867c4e86" /><Relationship Type="http://schemas.openxmlformats.org/officeDocument/2006/relationships/worksheet" Target="/xl/worksheets/sheet1.xml" Id="R453056e3cb02435d" /><Relationship Type="http://schemas.openxmlformats.org/officeDocument/2006/relationships/worksheet" Target="/xl/worksheets/sheet2.xml" Id="Rcf33ba2d3aa0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2540"/>
  </x:sheetPr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4"/>
      <x:c r="B1" s="44"/>
      <x:c r="C1" s="44"/>
      <x:c r="D1" s="44"/>
      <x:c r="E1" s="44"/>
      <x:c r="F1" s="44"/>
      <x:c r="G1" s="44"/>
      <x:c r="H1" s="44"/>
    </x:row>
    <x:row r="2" ht="28" customHeight="1">
      <x:c r="A2" s="2" t="str">
        <x:v>Matriz QA del sitio web VAROME</x:v>
      </x:c>
      <x:c r="B2" s="2"/>
      <x:c r="C2" s="2"/>
      <x:c r="D2" s="2"/>
      <x:c r="E2" s="2"/>
      <x:c r="F2" s="2"/>
      <x:c r="G2" s="2"/>
      <x:c r="H2" s="2"/>
    </x:row>
    <x:row r="3">
      <x:c r="A3" s="45" t="str">
        <x:v>Actualización de evidencias y correcciones al 23-10-2026</x:v>
      </x:c>
      <x:c r="B3" s="45"/>
      <x:c r="C3" s="45"/>
      <x:c r="D3" s="45"/>
      <x:c r="E3" s="45"/>
      <x:c r="F3" s="45"/>
      <x:c r="G3" s="45"/>
      <x:c r="H3" s="45"/>
    </x:row>
    <x:row r="4">
      <x:c r="A4" s="46"/>
      <x:c r="B4" s="46"/>
      <x:c r="C4" s="46"/>
      <x:c r="D4" s="46"/>
      <x:c r="E4" s="46"/>
      <x:c r="F4" s="46"/>
      <x:c r="G4" s="46"/>
      <x:c r="H4" s="46"/>
    </x:row>
    <x:row r="5">
      <x:c r="A5" s="44"/>
      <x:c r="B5" s="44"/>
      <x:c r="C5" s="44"/>
      <x:c r="D5" s="44"/>
      <x:c r="E5" s="44"/>
      <x:c r="F5" s="44"/>
      <x:c r="G5" s="44"/>
      <x:c r="H5" s="44"/>
    </x:row>
    <x:row r="6">
      <x:c r="A6" s="7" t="str">
        <x:v>Casos totales</x:v>
      </x:c>
      <x:c r="B6" s="7"/>
      <x:c r="C6" s="8" t="n">
        <x:f>COUNTA('Matriz QA'!A6:A35)</x:f>
        <x:v>30</x:v>
      </x:c>
      <x:c r="D6" s="8"/>
      <x:c r="E6" s="7" t="str">
        <x:v>Casos aprobados</x:v>
      </x:c>
      <x:c r="F6" s="7"/>
      <x:c r="G6" s="9" t="n">
        <x:f>B10/C6</x:f>
        <x:v>0.9666666666666667</x:v>
      </x:c>
      <x:c r="H6" s="9"/>
    </x:row>
    <x:row r="7">
      <x:c r="A7" s="44"/>
      <x:c r="B7" s="44"/>
      <x:c r="C7" s="44"/>
      <x:c r="D7" s="44"/>
      <x:c r="E7" s="44"/>
      <x:c r="F7" s="44"/>
      <x:c r="G7" s="44"/>
      <x:c r="H7" s="44"/>
    </x:row>
    <x:row r="8">
      <x:c r="A8" s="44"/>
      <x:c r="B8" s="44"/>
      <x:c r="C8" s="44"/>
      <x:c r="D8" s="44"/>
      <x:c r="E8" s="44"/>
      <x:c r="F8" s="44"/>
      <x:c r="G8" s="44"/>
      <x:c r="H8" s="44"/>
    </x:row>
    <x:row r="9">
      <x:c r="A9" s="13" t="str">
        <x:v>Estado</x:v>
      </x:c>
      <x:c r="B9" s="13" t="str">
        <x:v>Cantidad</x:v>
      </x:c>
      <x:c r="C9" s="13" t="str">
        <x:v>Uso</x:v>
      </x:c>
      <x:c r="D9" s="44"/>
      <x:c r="E9" s="25" t="str">
        <x:v>Resultado confirmado</x:v>
      </x:c>
      <x:c r="F9" s="25"/>
      <x:c r="G9" s="25"/>
      <x:c r="H9" s="25"/>
    </x:row>
    <x:row r="10" ht="26" customHeight="1">
      <x:c r="A10" s="18" t="str">
        <x:v>Aprobado</x:v>
      </x:c>
      <x:c r="B10" s="21" t="n">
        <x:f>COUNTIF('Matriz QA'!J6:J35,A10)</x:f>
        <x:v>29</x:v>
      </x:c>
      <x:c r="C10" s="18" t="str">
        <x:v>Prueba completada</x:v>
      </x:c>
      <x:c r="D10" s="44"/>
      <x:c r="E10" s="47" t="str">
        <x:v>Resultados dentro del alcance definido; revisar pendientes y hallazgos.</x:v>
      </x:c>
      <x:c r="F10" s="47"/>
      <x:c r="G10" s="47"/>
      <x:c r="H10" s="47"/>
    </x:row>
    <x:row r="11" ht="26" customHeight="1">
      <x:c r="A11" s="19" t="str">
        <x:v>Pendiente</x:v>
      </x:c>
      <x:c r="B11" s="22" t="n">
        <x:f>COUNTIF('Matriz QA'!J6:J35,A11)</x:f>
        <x:v>1</x:v>
      </x:c>
      <x:c r="C11" s="19" t="str">
        <x:v>Criterio o corrección pendiente</x:v>
      </x:c>
      <x:c r="D11" s="44"/>
      <x:c r="E11" s="47"/>
      <x:c r="F11" s="47"/>
      <x:c r="G11" s="47"/>
      <x:c r="H11" s="47"/>
    </x:row>
    <x:row r="12" ht="26" customHeight="1">
      <x:c r="A12" s="19" t="str">
        <x:v>Fallido</x:v>
      </x:c>
      <x:c r="B12" s="22" t="n">
        <x:f>COUNTIF('Matriz QA'!J6:J35,A12)</x:f>
        <x:v>0</x:v>
      </x:c>
      <x:c r="C12" s="19" t="str">
        <x:v>Resultado diferente al esperado</x:v>
      </x:c>
      <x:c r="D12" s="44"/>
      <x:c r="E12" s="47"/>
      <x:c r="F12" s="47"/>
      <x:c r="G12" s="47"/>
      <x:c r="H12" s="47"/>
    </x:row>
    <x:row r="13" ht="26" customHeight="1">
      <x:c r="A13" s="20" t="str">
        <x:v>Bloqueado</x:v>
      </x:c>
      <x:c r="B13" s="23" t="n">
        <x:f>COUNTIF('Matriz QA'!J6:J35,A13)</x:f>
        <x:v>0</x:v>
      </x:c>
      <x:c r="C13" s="20" t="str">
        <x:v>No se puede ejecutar</x:v>
      </x:c>
      <x:c r="D13" s="44"/>
      <x:c r="E13" s="47"/>
      <x:c r="F13" s="47"/>
      <x:c r="G13" s="47"/>
      <x:c r="H13" s="47"/>
    </x:row>
    <x:row r="14">
      <x:c r="A14" s="44"/>
      <x:c r="B14" s="44"/>
      <x:c r="C14" s="44"/>
      <x:c r="D14" s="44"/>
      <x:c r="E14" s="44"/>
      <x:c r="F14" s="44"/>
      <x:c r="G14" s="44"/>
      <x:c r="H14" s="44"/>
    </x:row>
    <x:row r="15">
      <x:c r="A15" s="44"/>
      <x:c r="B15" s="44"/>
      <x:c r="C15" s="44"/>
      <x:c r="D15" s="44"/>
      <x:c r="E15" s="44"/>
      <x:c r="F15" s="44"/>
      <x:c r="G15" s="44"/>
      <x:c r="H15" s="44"/>
    </x:row>
    <x:row r="16">
      <x:c r="A16" s="48" t="str">
        <x:v>Revisión QA en seguimiento</x:v>
      </x:c>
      <x:c r="B16" s="48"/>
      <x:c r="C16" s="48"/>
      <x:c r="D16" s="48"/>
      <x:c r="E16" s="48"/>
      <x:c r="F16" s="48"/>
      <x:c r="G16" s="48"/>
      <x:c r="H16" s="48"/>
    </x:row>
    <x:row r="17" ht="60" customHeight="1">
      <x:c r="A17" s="38" t="str">
        <x:v>Pendiente: definir criterio de carga (QA-022). Favicon y Región corregidos y validados. QA-016 y QA-017 conservan resultado histórico con respaldo técnico pendiente.</x:v>
      </x:c>
      <x:c r="B17" s="35"/>
      <x:c r="C17" s="35"/>
      <x:c r="D17" s="35"/>
      <x:c r="E17" s="80" t="str"/>
      <x:c r="F17" s="80" t="str"/>
      <x:c r="G17" s="80" t="str"/>
      <x:c r="H17" s="80" t="str"/>
    </x:row>
    <x:row r="18" ht="28" customHeight="1">
      <x:c r="A18" s="39"/>
      <x:c r="B18" s="36"/>
      <x:c r="C18" s="36"/>
      <x:c r="D18" s="36"/>
      <x:c r="E18" s="44" t="str"/>
      <x:c r="F18" s="44" t="str"/>
      <x:c r="G18" s="44" t="str"/>
      <x:c r="H18" s="44" t="str"/>
    </x:row>
    <x:row r="19" ht="28" customHeight="1">
      <x:c r="A19" s="39"/>
      <x:c r="B19" s="36"/>
      <x:c r="C19" s="36"/>
      <x:c r="D19" s="36"/>
      <x:c r="E19" s="44" t="str"/>
      <x:c r="F19" s="44" t="str"/>
      <x:c r="G19" s="44" t="str"/>
      <x:c r="H19" s="44" t="str"/>
    </x:row>
    <x:row r="20" ht="28" customHeight="1">
      <x:c r="A20" s="40"/>
      <x:c r="B20" s="37"/>
      <x:c r="C20" s="37"/>
      <x:c r="D20" s="37"/>
      <x:c r="E20" s="44" t="str"/>
      <x:c r="F20" s="44" t="str"/>
      <x:c r="G20" s="44" t="str"/>
      <x:c r="H20" s="44" t="str"/>
    </x:row>
    <x:row r="21">
      <x:c r="A21" s="44"/>
      <x:c r="B21" s="44"/>
      <x:c r="C21" s="44"/>
      <x:c r="D21" s="44"/>
      <x:c r="E21" s="44"/>
      <x:c r="F21" s="44"/>
      <x:c r="G21" s="44"/>
      <x:c r="H21" s="44"/>
    </x:row>
    <x:row r="22">
      <x:c r="A22" s="49" t="str">
        <x:v>Evidencia principal: image(20260928-221701).png — correo de prueba recibido el 28-09-2026.</x:v>
      </x:c>
      <x:c r="B22" s="49"/>
      <x:c r="C22" s="49"/>
      <x:c r="D22" s="49"/>
      <x:c r="E22" s="49"/>
      <x:c r="F22" s="49"/>
      <x:c r="G22" s="49"/>
      <x:c r="H22" s="49"/>
    </x:row>
    <x:row r="23">
      <x:c r="A23" s="44"/>
      <x:c r="B23" s="44"/>
      <x:c r="C23" s="44"/>
      <x:c r="D23" s="44"/>
      <x:c r="E23" s="44"/>
      <x:c r="F23" s="44"/>
      <x:c r="G23" s="44"/>
      <x:c r="H23" s="44"/>
    </x:row>
    <x:row r="24">
      <x:c r="A24" s="44"/>
      <x:c r="B24" s="44"/>
      <x:c r="C24" s="44"/>
      <x:c r="D24" s="44"/>
      <x:c r="E24" s="44"/>
      <x:c r="F24" s="44"/>
      <x:c r="G24" s="44"/>
      <x:c r="H24" s="44"/>
    </x:row>
  </x:sheetData>
  <x:mergeCells>
    <x:mergeCell ref="A2:H2"/>
    <x:mergeCell ref="A3:H3"/>
    <x:mergeCell ref="A6:B6"/>
    <x:mergeCell ref="C6:D6"/>
    <x:mergeCell ref="E6:F6"/>
    <x:mergeCell ref="G6:H6"/>
    <x:mergeCell ref="E9:H9"/>
    <x:mergeCell ref="E10:H13"/>
    <x:mergeCell ref="A16:H16"/>
    <x:mergeCell ref="A22:H2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D6EA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8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30" hidden="0" customWidth="1"/>
    <x:col min="9" max="9" width="11" hidden="0" customWidth="1"/>
    <x:col min="10" max="10" width="13" hidden="0" customWidth="1"/>
    <x:col min="11" max="11" width="18" hidden="0" customWidth="1"/>
    <x:col min="12" max="12" width="28" hidden="0" customWidth="1"/>
  </x:cols>
  <x:sheetData>
    <x:row r="2">
      <x:c r="A2" s="50" t="str">
        <x:v>Casos de prueba del sitio web VAROME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</x:row>
    <x:row r="3">
      <x:c r="A3" s="3" t="str">
        <x:v>Actualizar las columnas Resultado actual, Evidencia, Estado y Observaciones después de cada prueba.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>
      <x:c r="A5" s="60" t="str">
        <x:v>ID</x:v>
      </x:c>
      <x:c r="B5" s="61" t="str">
        <x:v>Módulo</x:v>
      </x:c>
      <x:c r="C5" s="61" t="str">
        <x:v>Caso de prueba</x:v>
      </x:c>
      <x:c r="D5" s="61" t="str">
        <x:v>Precondición</x:v>
      </x:c>
      <x:c r="E5" s="61" t="str">
        <x:v>Pasos</x:v>
      </x:c>
      <x:c r="F5" s="61" t="str">
        <x:v>Resultado esperado</x:v>
      </x:c>
      <x:c r="G5" s="61" t="str">
        <x:v>Resultado actual</x:v>
      </x:c>
      <x:c r="H5" s="61" t="str">
        <x:v>Evidencia</x:v>
      </x:c>
      <x:c r="I5" s="61" t="str">
        <x:v>Prioridad</x:v>
      </x:c>
      <x:c r="J5" s="61" t="str">
        <x:v>Estado</x:v>
      </x:c>
      <x:c r="K5" s="61" t="str">
        <x:v>Responsable</x:v>
      </x:c>
      <x:c r="L5" s="62" t="str">
        <x:v>Observaciones</x:v>
      </x:c>
    </x:row>
    <x:row r="6" ht="32.400001525878906" hidden="0" customHeight="1">
      <x:c r="A6" s="73" t="str">
        <x:v>QA-001</x:v>
      </x:c>
      <x:c r="B6" s="73" t="str">
        <x:v>Acceso</x:v>
      </x:c>
      <x:c r="C6" s="70" t="str">
        <x:v>Carga del dominio principal</x:v>
      </x:c>
      <x:c r="D6" s="70" t="str">
        <x:v>Dominio publicado</x:v>
      </x:c>
      <x:c r="E6" s="70" t="str">
        <x:v>Abrir https://varome.cl</x:v>
      </x:c>
      <x:c r="F6" s="70" t="str">
        <x:v>El sitio carga mediante HTTPS sin errores</x:v>
      </x:c>
      <x:c r="G6" s="70" t="str">
        <x:v>El sitio cargó correctamente en varome.cl</x:v>
      </x:c>
      <x:c r="H6" s="70" t="str">
        <x:v>https://github.com/mduque142-pixel/mduque142-pixel.github.io/blob/main/evidencias-qa/evidencias-qa-varome/qa-varome-01-inicio.png</x:v>
      </x:c>
      <x:c r="I6" s="76" t="str">
        <x:v>Alta</x:v>
      </x:c>
      <x:c r="J6" s="76" t="str">
        <x:v>Aprobado</x:v>
      </x:c>
      <x:c r="K6" s="76" t="str">
        <x:v>QA VAROME</x:v>
      </x:c>
      <x:c r="L6" s="70" t="str">
        <x:v> Referencia histórica: Verificación directa 28-09-2026. URL añadida el 09-10-2026.</x:v>
      </x:c>
    </x:row>
    <x:row r="7" ht="32.400001525878906" hidden="0" customHeight="1">
      <x:c r="A7" s="74" t="str">
        <x:v>QA-002</x:v>
      </x:c>
      <x:c r="B7" s="74" t="str">
        <x:v>Acceso</x:v>
      </x:c>
      <x:c r="C7" s="71" t="str">
        <x:v>Certificado SSL activo</x:v>
      </x:c>
      <x:c r="D7" s="71" t="str">
        <x:v>Dominio publicado</x:v>
      </x:c>
      <x:c r="E7" s="71" t="str">
        <x:v>Revisar la conexión HTTPS</x:v>
      </x:c>
      <x:c r="F7" s="71" t="str">
        <x:v>El navegador reconoce una conexión segura</x:v>
      </x:c>
      <x:c r="G7" s="71" t="str">
        <x:v>HTTPS activo durante la prueba</x:v>
      </x:c>
      <x:c r="H7" s="71" t="str">
        <x:v>https://github.com/mduque142-pixel/mduque142-pixel.github.io/blob/main/evidencias-qa/evidencias-qa-varome/qa-varome-01-inicio.png</x:v>
      </x:c>
      <x:c r="I7" s="77" t="str">
        <x:v>Alta</x:v>
      </x:c>
      <x:c r="J7" s="77" t="str">
        <x:v>Aprobado</x:v>
      </x:c>
      <x:c r="K7" s="77" t="str">
        <x:v>QA VAROME</x:v>
      </x:c>
      <x:c r="L7" s="71" t="str">
        <x:v> Referencia histórica: Verificación directa 28-09-2026. URL añadida el 09-10-2026.</x:v>
      </x:c>
    </x:row>
    <x:row r="8" ht="32.400001525878906" hidden="0" customHeight="1">
      <x:c r="A8" s="74" t="str">
        <x:v>QA-003</x:v>
      </x:c>
      <x:c r="B8" s="74" t="str">
        <x:v>Navegación</x:v>
      </x:c>
      <x:c r="C8" s="71" t="str">
        <x:v>Botón Solicitar cotización</x:v>
      </x:c>
      <x:c r="D8" s="71" t="str">
        <x:v>Página cargada</x:v>
      </x:c>
      <x:c r="E8" s="71" t="str">
        <x:v>Seleccionar Solicitar cotización</x:v>
      </x:c>
      <x:c r="F8" s="71" t="str">
        <x:v>La página se desplaza al formulario</x:v>
      </x:c>
      <x:c r="G8" s="71" t="str">
        <x:v>El formulario se abrió en #cotizacion</x:v>
      </x:c>
      <x:c r="H8" s="71" t="str">
        <x:v>https://github.com/mduque142-pixel/mduque142-pixel.github.io/blob/main/evidencias-qa/evidencias-qa-varome/qa-varome-03-formulario.png</x:v>
      </x:c>
      <x:c r="I8" s="77" t="str">
        <x:v>Alta</x:v>
      </x:c>
      <x:c r="J8" s="77" t="str">
        <x:v>Aprobado</x:v>
      </x:c>
      <x:c r="K8" s="77" t="str">
        <x:v>QA VAROME</x:v>
      </x:c>
      <x:c r="L8" s="71" t="str">
        <x:v> Referencia histórica: Verificación directa 28-09-2026. URL añadida el 09-10-2026.</x:v>
      </x:c>
    </x:row>
    <x:row r="9" ht="64.80000305175781" hidden="0" customHeight="1">
      <x:c r="A9" s="74" t="str">
        <x:v>QA-004</x:v>
      </x:c>
      <x:c r="B9" s="74" t="str">
        <x:v>Navegación</x:v>
      </x:c>
      <x:c r="C9" s="71" t="str">
        <x:v>Enlaces del menú principal</x:v>
      </x:c>
      <x:c r="D9" s="71" t="str">
        <x:v>Página cargada</x:v>
      </x:c>
      <x:c r="E9" s="71" t="str">
        <x:v>Probar Empresa, Servicios, Experiencia y Contacto</x:v>
      </x:c>
      <x:c r="F9" s="71" t="str">
        <x:v>Cada enlace lleva a la sección correcta</x:v>
      </x:c>
      <x:c r="G9" s="71" t="str">
        <x:v>Los enlaces abrieron correctamente Empresa, Servicios, Experiencia, Contacto y el formulario; el logo VAROME regresó al inicio</x:v>
      </x:c>
      <x:c r="H9" s="71" t="str">
        <x:v>https://github.com/mduque142-pixel/mduque142-pixel.github.io/blob/main/evidencias-qa/evidencias-qa-varome/qa-varome-02-menu.png</x:v>
      </x:c>
      <x:c r="I9" s="77" t="str">
        <x:v>Media</x:v>
      </x:c>
      <x:c r="J9" s="77" t="str">
        <x:v>Aprobado</x:v>
      </x:c>
      <x:c r="K9" s="77" t="str">
        <x:v>Maira</x:v>
      </x:c>
      <x:c r="L9" s="71" t="str">
        <x:v>Navegación y retorno al inicio mediante el logo verificados en una misma sesión Referencia histórica: Capturas image(20260928-232754).png a image(20260928-233122).png. URL añadida el 09-10-2026.</x:v>
      </x:c>
    </x:row>
    <x:row r="10" ht="32.400001525878906" hidden="0" customHeight="1">
      <x:c r="A10" s="74" t="str">
        <x:v>QA-005</x:v>
      </x:c>
      <x:c r="B10" s="74" t="str">
        <x:v>Formulario</x:v>
      </x:c>
      <x:c r="C10" s="71" t="str">
        <x:v>Visualización del formulario</x:v>
      </x:c>
      <x:c r="D10" s="71" t="str">
        <x:v>Sección cotización abierta</x:v>
      </x:c>
      <x:c r="E10" s="71" t="str">
        <x:v>Revisar campos y botón</x:v>
      </x:c>
      <x:c r="F10" s="71" t="str">
        <x:v>Todos los campos se muestran y son legibles</x:v>
      </x:c>
      <x:c r="G10" s="71" t="str">
        <x:v>Formulario visible con todos sus campos</x:v>
      </x:c>
      <x:c r="H10" s="71" t="str">
        <x:v>https://github.com/mduque142-pixel/mduque142-pixel.github.io/blob/main/evidencias-qa/evidencias-qa-varome/qa-varome-03-formulario.png</x:v>
      </x:c>
      <x:c r="I10" s="77" t="str">
        <x:v>Alta</x:v>
      </x:c>
      <x:c r="J10" s="77" t="str">
        <x:v>Aprobado</x:v>
      </x:c>
      <x:c r="K10" s="77" t="str">
        <x:v>QA VAROME</x:v>
      </x:c>
      <x:c r="L10" s="71" t="str">
        <x:v> Referencia histórica: Verificación directa 28-09-2026. URL añadida el 09-10-2026.</x:v>
      </x:c>
    </x:row>
    <x:row r="11" ht="32.400001525878906" hidden="0" customHeight="1">
      <x:c r="A11" s="74" t="str">
        <x:v>QA-006</x:v>
      </x:c>
      <x:c r="B11" s="74" t="str">
        <x:v>Formulario</x:v>
      </x:c>
      <x:c r="C11" s="71" t="str">
        <x:v>Envío con datos válidos</x:v>
      </x:c>
      <x:c r="D11" s="71" t="str">
        <x:v>Formulario disponible</x:v>
      </x:c>
      <x:c r="E11" s="71" t="str">
        <x:v>Completar obligatorios, aceptar autorización y enviar</x:v>
      </x:c>
      <x:c r="F11" s="71" t="str">
        <x:v>Se muestra confirmación y se genera el correo</x:v>
      </x:c>
      <x:c r="G11" s="71" t="str">
        <x:v>Mensaje: Solicitud enviada correctamente</x:v>
      </x:c>
      <x:c r="H11" s="71" t="str">
        <x:v>https://github.com/mduque142-pixel/mduque142-pixel.github.io/blob/main/evidencias-qa/evidencias-qa-varome/qa-varome-07-envio-exitoso.png</x:v>
      </x:c>
      <x:c r="I11" s="77" t="str">
        <x:v>Crítica</x:v>
      </x:c>
      <x:c r="J11" s="77" t="str">
        <x:v>Aprobado</x:v>
      </x:c>
      <x:c r="K11" s="77" t="str">
        <x:v>QA VAROME</x:v>
      </x:c>
      <x:c r="L11" s="71" t="str">
        <x:v>Correo real de prueba Referencia histórica: Captura image(20260928-221701).png. URL añadida el 09-10-2026.</x:v>
      </x:c>
    </x:row>
    <x:row r="12" ht="43.20000076293945" hidden="0" customHeight="1">
      <x:c r="A12" s="74" t="str">
        <x:v>QA-007</x:v>
      </x:c>
      <x:c r="B12" s="74" t="str">
        <x:v>Formulario</x:v>
      </x:c>
      <x:c r="C12" s="71" t="str">
        <x:v>Campos obligatorios vacíos</x:v>
      </x:c>
      <x:c r="D12" s="71" t="str">
        <x:v>Formulario disponible</x:v>
      </x:c>
      <x:c r="E12" s="71" t="str">
        <x:v>Intentar enviar sin completar campos</x:v>
      </x:c>
      <x:c r="F12" s="71" t="str">
        <x:v>El formulario impide el envío e identifica los campos</x:v>
      </x:c>
      <x:c r="G12" s="71" t="str">
        <x:v>El envío fue bloqueado y el navegador mostró: Completa este campo</x:v>
      </x:c>
      <x:c r="H12" s="71" t="str">
        <x:v>https://github.com/mduque142-pixel/mduque142-pixel.github.io/blob/main/evidencias-qa/evidencias-qa-varome/qa-varome-04-obligatorios.png</x:v>
      </x:c>
      <x:c r="I12" s="77" t="str">
        <x:v>Alta</x:v>
      </x:c>
      <x:c r="J12" s="77" t="str">
        <x:v>Aprobado</x:v>
      </x:c>
      <x:c r="K12" s="77" t="str">
        <x:v>Maira</x:v>
      </x:c>
      <x:c r="L12" s="71" t="str">
        <x:v>Validación mostrada en Nombre y apellido Referencia histórica: Captura image(20260928-230936).png. URL añadida el 09-10-2026.</x:v>
      </x:c>
    </x:row>
    <x:row r="13" ht="54" hidden="0" customHeight="1">
      <x:c r="A13" s="74" t="str">
        <x:v>QA-008</x:v>
      </x:c>
      <x:c r="B13" s="74" t="str">
        <x:v>Formulario</x:v>
      </x:c>
      <x:c r="C13" s="71" t="str">
        <x:v>Formato de correo inválido</x:v>
      </x:c>
      <x:c r="D13" s="71" t="str">
        <x:v>Formulario disponible</x:v>
      </x:c>
      <x:c r="E13" s="71" t="str">
        <x:v>Ingresar un correo con formato incorrecto</x:v>
      </x:c>
      <x:c r="F13" s="71" t="str">
        <x:v>El formulario impide el envío</x:v>
      </x:c>
      <x:c r="G13" s="71" t="str">
        <x:v>El envío fue bloqueado y el navegador indicó que la dirección no incluye el signo @</x:v>
      </x:c>
      <x:c r="H13" s="71" t="str">
        <x:v>https://github.com/mduque142-pixel/mduque142-pixel.github.io/blob/main/evidencias-qa/evidencias-qa-varome/qa-varome-05-correo-invalido.png</x:v>
      </x:c>
      <x:c r="I13" s="77" t="str">
        <x:v>Alta</x:v>
      </x:c>
      <x:c r="J13" s="77" t="str">
        <x:v>Aprobado</x:v>
      </x:c>
      <x:c r="K13" s="77" t="str">
        <x:v>Maira</x:v>
      </x:c>
      <x:c r="L13" s="71" t="str">
        <x:v>Validación aplicada al campo Correo electrónico Referencia histórica: Capturas image(20260928-231340).png e image(20260928-231413).png. URL añadida el 09-10-2026.</x:v>
      </x:c>
    </x:row>
    <x:row r="14" ht="54" hidden="0" customHeight="1">
      <x:c r="A14" s="74" t="str">
        <x:v>QA-009</x:v>
      </x:c>
      <x:c r="B14" s="74" t="str">
        <x:v>Formulario</x:v>
      </x:c>
      <x:c r="C14" s="71" t="str">
        <x:v>Autorización de datos obligatoria</x:v>
      </x:c>
      <x:c r="D14" s="71" t="str">
        <x:v>Formulario completo</x:v>
      </x:c>
      <x:c r="E14" s="71" t="str">
        <x:v>Enviar sin marcar la autorización</x:v>
      </x:c>
      <x:c r="F14" s="71" t="str">
        <x:v>El formulario impide el envío</x:v>
      </x:c>
      <x:c r="G14" s="71" t="str">
        <x:v>Sin autorización, el navegador bloqueó el envío y solicitó marcar la casilla; con autorización, el envío fue exitoso</x:v>
      </x:c>
      <x:c r="H14" s="71" t="str">
        <x:v>https://github.com/mduque142-pixel/mduque142-pixel.github.io/blob/main/evidencias-qa/evidencias-qa-varome/qa-varome-06-autorizacion.png</x:v>
      </x:c>
      <x:c r="I14" s="77" t="str">
        <x:v>Alta</x:v>
      </x:c>
      <x:c r="J14" s="77" t="str">
        <x:v>Aprobado</x:v>
      </x:c>
      <x:c r="K14" s="77" t="str">
        <x:v>Maira</x:v>
      </x:c>
      <x:c r="L14" s="71" t="str">
        <x:v>Reprueba aprobada después de la corrección publicada en la versión 9 Referencia histórica: Capturas image(20260928-232403).png e image(20260928-232450).png. URL añadida el 09-10-2026.</x:v>
      </x:c>
    </x:row>
    <x:row r="15" ht="48" customHeight="1">
      <x:c r="A15" s="74" t="str">
        <x:v>QA-010</x:v>
      </x:c>
      <x:c r="B15" s="74" t="str">
        <x:v>Formulario</x:v>
      </x:c>
      <x:c r="C15" s="71" t="str">
        <x:v>Opciones de región</x:v>
      </x:c>
      <x:c r="D15" s="71" t="str">
        <x:v>Formulario disponible</x:v>
      </x:c>
      <x:c r="E15" s="71" t="str">
        <x:v>Abrir y revisar el selector de región</x:v>
      </x:c>
      <x:c r="F15" s="71" t="str">
        <x:v>Las regiones de Chile están disponibles</x:v>
      </x:c>
      <x:c r="G15" s="71" t="str">
        <x:v>Selector incluye las regiones de Chile</x:v>
      </x:c>
      <x:c r="H15" s="71" t="str">
        <x:v>Verificación directa 28-09-2026</x:v>
      </x:c>
      <x:c r="I15" s="77" t="str">
        <x:v>Media</x:v>
      </x:c>
      <x:c r="J15" s="77" t="str">
        <x:v>Aprobado</x:v>
      </x:c>
      <x:c r="K15" s="77" t="str">
        <x:v>QA VAROME</x:v>
      </x:c>
      <x:c r="L15" s="71" t="str"/>
    </x:row>
    <x:row r="16" ht="48" customHeight="1">
      <x:c r="A16" s="74" t="str">
        <x:v>QA-011</x:v>
      </x:c>
      <x:c r="B16" s="74" t="str">
        <x:v>Formulario</x:v>
      </x:c>
      <x:c r="C16" s="71" t="str">
        <x:v>Opciones de servicio</x:v>
      </x:c>
      <x:c r="D16" s="71" t="str">
        <x:v>Formulario disponible</x:v>
      </x:c>
      <x:c r="E16" s="71" t="str">
        <x:v>Abrir el selector de servicio</x:v>
      </x:c>
      <x:c r="F16" s="71" t="str">
        <x:v>Las categorías definidas están disponibles</x:v>
      </x:c>
      <x:c r="G16" s="71" t="str">
        <x:v>Salas, tableros, estructuras y otro requerimiento visibles</x:v>
      </x:c>
      <x:c r="H16" s="71" t="str">
        <x:v>Verificación directa 28-09-2026</x:v>
      </x:c>
      <x:c r="I16" s="77" t="str">
        <x:v>Media</x:v>
      </x:c>
      <x:c r="J16" s="77" t="str">
        <x:v>Aprobado</x:v>
      </x:c>
      <x:c r="K16" s="77" t="str">
        <x:v>QA VAROME</x:v>
      </x:c>
      <x:c r="L16" s="71" t="str"/>
    </x:row>
    <x:row r="17" ht="43.20000076293945" hidden="0" customHeight="1">
      <x:c r="A17" s="74" t="str">
        <x:v>QA-012</x:v>
      </x:c>
      <x:c r="B17" s="74" t="str">
        <x:v>Correo</x:v>
      </x:c>
      <x:c r="C17" s="71" t="str">
        <x:v>Recepción en cotizaciones@varome.cl</x:v>
      </x:c>
      <x:c r="D17" s="71" t="str">
        <x:v>Envío válido realizado</x:v>
      </x:c>
      <x:c r="E17" s="71" t="str">
        <x:v>Revisar la bandeja del grupo</x:v>
      </x:c>
      <x:c r="F17" s="71" t="str">
        <x:v>El mensaje llega al grupo de cotizaciones</x:v>
      </x:c>
      <x:c r="G17" s="71" t="str">
        <x:v>Correo recibido correctamente</x:v>
      </x:c>
      <x:c r="H17" s="71" t="str">
        <x:v>https://github.com/mduque142-pixel/mduque142-pixel.github.io/blob/main/evidencias-qa/evidencias-qa-varome/qa-varome-08-correo-recibido.png</x:v>
      </x:c>
      <x:c r="I17" s="77" t="str">
        <x:v>Crítica</x:v>
      </x:c>
      <x:c r="J17" s="77" t="str">
        <x:v>Aprobado</x:v>
      </x:c>
      <x:c r="K17" s="77" t="str">
        <x:v>Maira</x:v>
      </x:c>
      <x:c r="L17" s="71" t="str">
        <x:v>Rolando y Rodrigo confirmaron recepción Referencia histórica: Captura image(20260928-221701).png. URL añadida el 09-10-2026.</x:v>
      </x:c>
    </x:row>
    <x:row r="18" ht="48" customHeight="1">
      <x:c r="A18" s="74" t="str">
        <x:v>QA-013</x:v>
      </x:c>
      <x:c r="B18" s="74" t="str">
        <x:v>Correo</x:v>
      </x:c>
      <x:c r="C18" s="71" t="str">
        <x:v>Distribución a Rolando y Rodrigo</x:v>
      </x:c>
      <x:c r="D18" s="71" t="str">
        <x:v>Grupo de correo configurado</x:v>
      </x:c>
      <x:c r="E18" s="71" t="str">
        <x:v>Confirmar recepción con ambos destinatarios</x:v>
      </x:c>
      <x:c r="F18" s="71" t="str">
        <x:v>Ambos integrantes reciben el correo</x:v>
      </x:c>
      <x:c r="G18" s="71" t="str">
        <x:v>Recepción confirmada por ambos</x:v>
      </x:c>
      <x:c r="H18" s="71" t="str">
        <x:v>Confirmación del equipo 28-09-2026</x:v>
      </x:c>
      <x:c r="I18" s="77" t="str">
        <x:v>Crítica</x:v>
      </x:c>
      <x:c r="J18" s="77" t="str">
        <x:v>Aprobado</x:v>
      </x:c>
      <x:c r="K18" s="77" t="str">
        <x:v>Maira</x:v>
      </x:c>
      <x:c r="L18" s="71" t="str"/>
    </x:row>
    <x:row r="19" ht="32.400001525878906" hidden="0" customHeight="1">
      <x:c r="A19" s="74" t="str">
        <x:v>QA-014</x:v>
      </x:c>
      <x:c r="B19" s="74" t="str">
        <x:v>Correo</x:v>
      </x:c>
      <x:c r="C19" s="71" t="str">
        <x:v>Contenido del correo</x:v>
      </x:c>
      <x:c r="D19" s="71" t="str">
        <x:v>Correo recibido</x:v>
      </x:c>
      <x:c r="E19" s="71" t="str">
        <x:v>Comparar datos enviados con datos recibidos</x:v>
      </x:c>
      <x:c r="F19" s="71" t="str">
        <x:v>Asunto, contacto, región, servicio y descripción coinciden</x:v>
      </x:c>
      <x:c r="G19" s="71" t="str">
        <x:v>Los datos de prueba llegaron completos</x:v>
      </x:c>
      <x:c r="H19" s="71" t="str">
        <x:v>https://github.com/mduque142-pixel/mduque142-pixel.github.io/blob/main/evidencias-qa/evidencias-qa-varome/qa-varome-08-correo-recibido.png</x:v>
      </x:c>
      <x:c r="I19" s="77" t="str">
        <x:v>Alta</x:v>
      </x:c>
      <x:c r="J19" s="77" t="str">
        <x:v>Aprobado</x:v>
      </x:c>
      <x:c r="K19" s="77" t="str">
        <x:v>QA VAROME</x:v>
      </x:c>
      <x:c r="L19" s="71" t="str">
        <x:v> Referencia histórica: Captura image(20260928-221701).png. URL añadida el 09-10-2026.</x:v>
      </x:c>
    </x:row>
    <x:row r="20" ht="43.20000076293945" hidden="0" customHeight="1">
      <x:c r="A20" s="74" t="str">
        <x:v>QA-015</x:v>
      </x:c>
      <x:c r="B20" s="74" t="str">
        <x:v>Correo</x:v>
      </x:c>
      <x:c r="C20" s="71" t="str">
        <x:v>Responder al solicitante</x:v>
      </x:c>
      <x:c r="D20" s="71" t="str">
        <x:v>Correo recibido</x:v>
      </x:c>
      <x:c r="E20" s="71" t="str">
        <x:v>Seleccionar Responder</x:v>
      </x:c>
      <x:c r="F20" s="71" t="str">
        <x:v>La respuesta se dirige al correo ingresado por el cliente</x:v>
      </x:c>
      <x:c r="G20" s="71" t="str">
        <x:v>Al seleccionar Responder, el destinatario fue el correo del solicitante prueba@varome.cl</x:v>
      </x:c>
      <x:c r="H20" s="71" t="str">
        <x:v>https://github.com/mduque142-pixel/mduque142-pixel.github.io/blob/main/evidencias-qa/evidencias-qa-varome/qa-varome-09-responder.png</x:v>
      </x:c>
      <x:c r="I20" s="77" t="str">
        <x:v>Alta</x:v>
      </x:c>
      <x:c r="J20" s="77" t="str">
        <x:v>Aprobado</x:v>
      </x:c>
      <x:c r="K20" s="77" t="str">
        <x:v>Rolando / Rodrigo</x:v>
      </x:c>
      <x:c r="L20" s="71" t="str">
        <x:v>Reply-To verificado; no fue necesario enviar la respuesta Referencia histórica: Captura image(20260928-233503).png. URL añadida el 09-10-2026.</x:v>
      </x:c>
    </x:row>
    <x:row r="21" ht="21.600000381469727" hidden="0" customHeight="1">
      <x:c r="A21" s="74" t="str">
        <x:v>QA-016</x:v>
      </x:c>
      <x:c r="B21" s="74" t="str">
        <x:v>Seguridad</x:v>
      </x:c>
      <x:c r="C21" s="71" t="str">
        <x:v>Clave de envío protegida</x:v>
      </x:c>
      <x:c r="D21" s="71" t="str">
        <x:v>Proyecto publicado</x:v>
      </x:c>
      <x:c r="E21" s="71" t="str">
        <x:v>Revisar configuración del entorno</x:v>
      </x:c>
      <x:c r="F21" s="71" t="str">
        <x:v>La clave no aparece en código ni en el navegador</x:v>
      </x:c>
      <x:c r="G21" s="71" t="str">
        <x:v>Clave instalada como secreto del sitio</x:v>
      </x:c>
      <x:c r="H21" s="71" t="str">
        <x:v>Configuración versión 7</x:v>
      </x:c>
      <x:c r="I21" s="77" t="str">
        <x:v>Crítica</x:v>
      </x:c>
      <x:c r="J21" s="77" t="str">
        <x:v>Aprobado</x:v>
      </x:c>
      <x:c r="K21" s="77" t="str">
        <x:v>QA VAROME</x:v>
      </x:c>
      <x:c r="L21" s="71" t="str">
        <x:v> Pendiente adjuntar el registro técnico que respalda el resultado histórico.</x:v>
      </x:c>
    </x:row>
    <x:row r="22" ht="43.20000076293945" hidden="0" customHeight="1">
      <x:c r="A22" s="74" t="str">
        <x:v>QA-017</x:v>
      </x:c>
      <x:c r="B22" s="74" t="str">
        <x:v>Seguridad</x:v>
      </x:c>
      <x:c r="C22" s="71" t="str">
        <x:v>Control anti-bot</x:v>
      </x:c>
      <x:c r="D22" s="71" t="str">
        <x:v>Formulario disponible</x:v>
      </x:c>
      <x:c r="E22" s="71" t="str">
        <x:v>Completar el campo trampa mediante una prueba técnica</x:v>
      </x:c>
      <x:c r="F22" s="71" t="str">
        <x:v>La solicitud automatizada se rechaza sin enviar correo</x:v>
      </x:c>
      <x:c r="G22" s="71" t="str">
        <x:v>El campo trampa fue completado en una solicitud técnica. El servidor devolvió una respuesta neutra y detuvo el flujo antes del servicio de correo.</x:v>
      </x:c>
      <x:c r="H22" s="71" t="str">
        <x:v>POST https://varome.cl/api/cotizacion — HTTP 200, mensaje «Solicitud recibida», validación técnica del 05-10-2026</x:v>
      </x:c>
      <x:c r="I22" s="77" t="str">
        <x:v>Media</x:v>
      </x:c>
      <x:c r="J22" s="77" t="str">
        <x:v>Aprobado</x:v>
      </x:c>
      <x:c r="K22" s="77" t="str">
        <x:v>QA VAROME</x:v>
      </x:c>
      <x:c r="L22" s="71" t="str">
        <x:v>Honeypot verificado en producción; la solicitud automatizada no ingresó al flujo de envío. Pendiente adjuntar el registro técnico que respalda el resultado histórico.</x:v>
      </x:c>
    </x:row>
    <x:row r="23" ht="75.5999984741211" hidden="0" customHeight="1">
      <x:c r="A23" s="74" t="str">
        <x:v>QA-018</x:v>
      </x:c>
      <x:c r="B23" s="74" t="str">
        <x:v>Compatibilidad</x:v>
      </x:c>
      <x:c r="C23" s="71" t="str">
        <x:v>Vista en teléfono móvil</x:v>
      </x:c>
      <x:c r="D23" s="71" t="str">
        <x:v>Teléfono con navegador actualizado</x:v>
      </x:c>
      <x:c r="E23" s="71" t="str">
        <x:v>Abrir y completar el formulario en pantalla móvil</x:v>
      </x:c>
      <x:c r="F23" s="71" t="str">
        <x:v>Contenido legible y controles utilizables</x:v>
      </x:c>
      <x:c r="G23" s="71" t="str">
        <x:v>En teléfono móvil, la portada se adapta correctamente; el botón Menú abre Empresa, Servicios, Experiencia, Contacto y Solicitar cotización. Al seleccionar una opción, el menú se cierra y muestra la sección correspondiente.</x:v>
      </x:c>
      <x:c r="H23" s="71" t="str">
        <x:v>https://github.com/mduque142-pixel/mduque142-pixel.github.io/blob/main/evidencias-qa/evidencias-qa-varome/qa-varome-10-movil-inicio.png</x:v>
      </x:c>
      <x:c r="I23" s="77" t="str">
        <x:v>Alta</x:v>
      </x:c>
      <x:c r="J23" s="77" t="str">
        <x:v>Aprobado</x:v>
      </x:c>
      <x:c r="K23" s="77" t="str">
        <x:v>Maira</x:v>
      </x:c>
      <x:c r="L23" s="71" t="str">
        <x:v>Reprueba aprobada el 05-10-2026 en la versión 10; menú móvil visible, desplegable y navegación funcional. Referencia histórica: Capturas image(20261005-164127).png, image(20261005-164204).png e image(20261005-164227).png. URL añadida el 09-10-2026.</x:v>
      </x:c>
    </x:row>
    <x:row r="24" ht="151.1999969482422" hidden="0" customHeight="1">
      <x:c r="A24" s="74" t="str">
        <x:v>QA-019</x:v>
      </x:c>
      <x:c r="B24" s="74" t="str">
        <x:v>Compatibilidad</x:v>
      </x:c>
      <x:c r="C24" s="71" t="str">
        <x:v>Navegadores de escritorio</x:v>
      </x:c>
      <x:c r="D24" s="71" t="str">
        <x:v>Chrome, Edge y Firefox disponibles</x:v>
      </x:c>
      <x:c r="E24" s="71" t="str">
        <x:v>Abrir sitio y probar formulario en cada navegador</x:v>
      </x:c>
      <x:c r="F24" s="71" t="str">
        <x:v>Mismo comportamiento funcional y visual</x:v>
      </x:c>
      <x:c r="G24" s="71" t="str">
        <x:v>El sitio mantuvo el comportamiento visual y funcional en Chrome, Microsoft Edge y Mozilla Firefox. En Edge y Firefox el formulario se completó, mostró confirmación de envío y generó el correo correctamente.</x:v>
      </x:c>
      <x:c r="H24" s="71" t="str">
        <x:v>https://github.com/mduque142-pixel/mduque142-pixel.github.io/blob/main/evidencias-qa/evidencias-qa-varome/qa-varome-12-edge.png</x:v>
      </x:c>
      <x:c r="I24" s="77" t="str">
        <x:v>Media</x:v>
      </x:c>
      <x:c r="J24" s="77" t="str">
        <x:v>Aprobado</x:v>
      </x:c>
      <x:c r="K24" s="77" t="str">
        <x:v>Maira</x:v>
      </x:c>
      <x:c r="L24" s="71" t="str">
        <x:v>Compatibilidad de escritorio aprobada el 05-10-2026; navegación, formulario, confirmación y recepción verificadas. Referencia histórica: Chrome: verificaciones previas; Edge: image(20261005-165226).png, image(20261005-165612).png, image(20261005-165831).png e image(20261005-170010).png; Firefox: image(20261005-170814).png, image(20261005-170855).png, image(20261005-171120).png, image(20261005-171146).png e image(20261005-171304).png. URL añadida el 09-10-2026.</x:v>
      </x:c>
    </x:row>
    <x:row r="25" ht="108" hidden="0" customHeight="1">
      <x:c r="A25" s="74" t="str">
        <x:v>QA-020</x:v>
      </x:c>
      <x:c r="B25" s="74" t="str">
        <x:v>Accesibilidad</x:v>
      </x:c>
      <x:c r="C25" s="71" t="str">
        <x:v>Uso mediante teclado</x:v>
      </x:c>
      <x:c r="D25" s="71" t="str">
        <x:v>Página cargada</x:v>
      </x:c>
      <x:c r="E25" s="71" t="str">
        <x:v>Recorrer menú y formulario con Tab y Enter</x:v>
      </x:c>
      <x:c r="F25" s="71" t="str">
        <x:v>Foco visible y orden lógico en todos los controles</x:v>
      </x:c>
      <x:c r="G25" s="71" t="str">
        <x:v>La navegación mediante teclado mantuvo un orden lógico. El foco fue visible en el logo, enlaces del menú, botones y controles del formulario; fue posible avanzar y retroceder entre elementos sin utilizar el mouse.</x:v>
      </x:c>
      <x:c r="H25" s="71" t="str">
        <x:v>https://github.com/mduque142-pixel/mduque142-pixel.github.io/blob/main/evidencias-qa/evidencias-qa-varome/qa-varome-14-teclado.png</x:v>
      </x:c>
      <x:c r="I25" s="77" t="str">
        <x:v>Media</x:v>
      </x:c>
      <x:c r="J25" s="77" t="str">
        <x:v>Aprobado</x:v>
      </x:c>
      <x:c r="K25" s="77" t="str">
        <x:v>Maira</x:v>
      </x:c>
      <x:c r="L25" s="71" t="str">
        <x:v>Prueba aprobada el 05-10-2026; foco visible y recorrido funcional mediante Tab y Shift+Tab. Referencia histórica: Capturas image(20261005-172012).png, image(20261005-172054).png, image(20261005-172213).png, image(20261005-172244).png, image(20261005-172329).png e image(20261005-172504).png. URL añadida el 09-10-2026.</x:v>
      </x:c>
    </x:row>
    <x:row r="26" ht="32.400001525878906" hidden="0" customHeight="1">
      <x:c r="A26" s="74" t="str">
        <x:v>QA-021</x:v>
      </x:c>
      <x:c r="B26" s="74" t="str">
        <x:v>Contenido</x:v>
      </x:c>
      <x:c r="C26" s="71" t="str">
        <x:v>Correos y textos visibles</x:v>
      </x:c>
      <x:c r="D26" s="71" t="str">
        <x:v>Página cargada</x:v>
      </x:c>
      <x:c r="E26" s="71" t="str">
        <x:v>Revisar ortografía, correos y cobertura</x:v>
      </x:c>
      <x:c r="F26" s="71" t="str">
        <x:v>Los datos publicados son correctos y consistentes</x:v>
      </x:c>
      <x:c r="G26" s="71" t="str">
        <x:v>Los textos, correos y cobertura publicados son correctos y consistentes. Se verificó cobertura nacional, cotizaciones@varome.cl y contacto@varome.cl.</x:v>
      </x:c>
      <x:c r="H26" s="71" t="str">
        <x:v>Versión 11 publicada y validación en https://varome.cl/ el 05-10-2026</x:v>
      </x:c>
      <x:c r="I26" s="77" t="str">
        <x:v>Media</x:v>
      </x:c>
      <x:c r="J26" s="77" t="str">
        <x:v>Aprobado</x:v>
      </x:c>
      <x:c r="K26" s="77" t="str">
        <x:v>Maira / QA VAROME</x:v>
      </x:c>
      <x:c r="L26" s="71" t="str">
        <x:v>Corrección publicada en versión 11: cobertura a lo largo de Chile y redacción técnica ajustada.</x:v>
      </x:c>
    </x:row>
    <x:row r="27" ht="97.19999694824219" hidden="0" customHeight="1">
      <x:c r="A27" s="74" t="str">
        <x:v>QA-022</x:v>
      </x:c>
      <x:c r="B27" s="74" t="str">
        <x:v>Rendimiento</x:v>
      </x:c>
      <x:c r="C27" s="71" t="str">
        <x:v>Carga inicial</x:v>
      </x:c>
      <x:c r="D27" s="71" t="str">
        <x:v>Chrome; Disable cache activado; No throttling; conexión del equipo de prueba</x:v>
      </x:c>
      <x:c r="E27" s="71" t="str">
        <x:v>Recargar tres veces y registrar Load en Network</x:v>
      </x:c>
      <x:c r="F27" s="71" t="str">
        <x:v>Registrar Load; umbral de aceptación pendiente de definir</x:v>
      </x:c>
      <x:c r="G27" s="71" t="str">
        <x:v>09-10-2026: Load 4,67 s; 3,54 s; 4,64 s. Promedio 4,28 s; mediana 4,64 s.</x:v>
      </x:c>
      <x:c r="H27" s="71" t="str">
        <x:v>https://github.com/mduque142-pixel/mduque142-pixel.github.io/blob/main/evidencias-qa/evidencias-qa-varome/qa-varome-20-carga-01.png
https://github.com/mduque142-pixel/mduque142-pixel.github.io/blob/main/evidencias-qa/evidencias-qa-varome/qa-varome-20-carga-02.png
https://github.com/mduque142-pixel/mduque142-pixel.github.io/blob/main/evidencias-qa/evidencias-qa-varome/qa-varome-20-carga-03.png</x:v>
      </x:c>
      <x:c r="I27" s="77" t="str">
        <x:v>Baja</x:v>
      </x:c>
      <x:c r="J27" s="77" t="str">
        <x:v>Pendiente</x:v>
      </x:c>
      <x:c r="K27" s="77" t="str">
        <x:v>QA VAROME</x:v>
      </x:c>
      <x:c r="L27" s="71" t="str">
        <x:v>Medición realizada; aprobación pendiente de criterio. No equivale a Core Web Vitals. Referencia histórica del 05-10-2026 (métrica no precisada): La página principal cargó de forma estable en tres repeticiones: 2.074 s, 1.191 s y 0.398 s. Promedio 1.221 s y mediana 1.191 s, sin errores propios del sitio.</x:v>
      </x:c>
    </x:row>
    <x:row r="28" ht="43.20000076293945" hidden="0" customHeight="1">
      <x:c r="A28" s="74" t="str">
        <x:v>QA-023</x:v>
      </x:c>
      <x:c r="B28" s="74" t="str">
        <x:v>SEO</x:v>
      </x:c>
      <x:c r="C28" s="71" t="str">
        <x:v>Propiedad verificada en Google Search Console</x:v>
      </x:c>
      <x:c r="D28" s="71" t="str">
        <x:v>Acceso administrativo disponible</x:v>
      </x:c>
      <x:c r="E28" s="71" t="str">
        <x:v>Verificar la propiedad de dominio varome.cl</x:v>
      </x:c>
      <x:c r="F28" s="71" t="str">
        <x:v>Google reconoce la propiedad del dominio</x:v>
      </x:c>
      <x:c r="G28" s="71" t="str">
        <x:v>Propiedad verificada mediante proveedor de dominio</x:v>
      </x:c>
      <x:c r="H28" s="71" t="str">
        <x:v>https://github.com/mduque142-pixel/mduque142-pixel.github.io/blob/main/evidencias-qa/evidencias-qa-varome/qa-varome-15-search-console.png</x:v>
      </x:c>
      <x:c r="I28" s="77" t="str">
        <x:v>Alta</x:v>
      </x:c>
      <x:c r="J28" s="77" t="str">
        <x:v>Aprobado</x:v>
      </x:c>
      <x:c r="K28" s="77" t="str">
        <x:v>Maira</x:v>
      </x:c>
      <x:c r="L28" s="71" t="str">
        <x:v>Registro DNS de verificación activo Referencia histórica: Captura image(20260928-224805).png. URL añadida el 09-10-2026.</x:v>
      </x:c>
    </x:row>
    <x:row r="29" ht="15" hidden="0" customHeight="1">
      <x:c r="A29" s="74" t="str">
        <x:v>QA-024</x:v>
      </x:c>
      <x:c r="B29" s="74" t="str">
        <x:v>SEO</x:v>
      </x:c>
      <x:c r="C29" s="71" t="str">
        <x:v>Solicitud de indexación de la página principal</x:v>
      </x:c>
      <x:c r="D29" s="71" t="str">
        <x:v>Propiedad verificada</x:v>
      </x:c>
      <x:c r="E29" s="71" t="str">
        <x:v>Inspeccionar https://varome.cl/ y solicitar indexación</x:v>
      </x:c>
      <x:c r="F29" s="71" t="str">
        <x:v>Google incorpora la URL a la cola prioritaria de rastreo</x:v>
      </x:c>
      <x:c r="G29" s="71" t="str">
        <x:v>Solicitud de indexación aceptada</x:v>
      </x:c>
      <x:c r="H29" s="71" t="str">
        <x:v>Captura image(20260928-225236).png</x:v>
      </x:c>
      <x:c r="I29" s="77" t="str">
        <x:v>Alta</x:v>
      </x:c>
      <x:c r="J29" s="77" t="str">
        <x:v>Aprobado</x:v>
      </x:c>
      <x:c r="K29" s="77" t="str">
        <x:v>Maira</x:v>
      </x:c>
      <x:c r="L29" s="71" t="str">
        <x:v>No volver a solicitar mientras esté en proceso</x:v>
      </x:c>
    </x:row>
    <x:row r="30" ht="32.400001525878906" hidden="0" customHeight="1">
      <x:c r="A30" s="74" t="str">
        <x:v>QA-025</x:v>
      </x:c>
      <x:c r="B30" s="74" t="str">
        <x:v>SEO</x:v>
      </x:c>
      <x:c r="C30" s="71" t="str">
        <x:v>Archivo sitemap publicado</x:v>
      </x:c>
      <x:c r="D30" s="71" t="str">
        <x:v>Versión 8 del sitio publicada</x:v>
      </x:c>
      <x:c r="E30" s="71" t="str">
        <x:v>Abrir https://varome.cl/sitemap.xml</x:v>
      </x:c>
      <x:c r="F30" s="71" t="str">
        <x:v>El archivo XML responde y contiene la página principal</x:v>
      </x:c>
      <x:c r="G30" s="71" t="str">
        <x:v>Sitemap publicado con la URL canónica</x:v>
      </x:c>
      <x:c r="H30" s="71" t="str">
        <x:v>https://github.com/mduque142-pixel/mduque142-pixel.github.io/blob/main/evidencias-qa/evidencias-qa-varome/qa-varome-17-sitemap-xml.png</x:v>
      </x:c>
      <x:c r="I30" s="77" t="str">
        <x:v>Alta</x:v>
      </x:c>
      <x:c r="J30" s="77" t="str">
        <x:v>Aprobado</x:v>
      </x:c>
      <x:c r="K30" s="77" t="str">
        <x:v>QA VAROME</x:v>
      </x:c>
      <x:c r="L30" s="71" t="str">
        <x:v> Evidencia revisada el 09-10-2026.</x:v>
      </x:c>
    </x:row>
    <x:row r="31" ht="32.400001525878906" hidden="0" customHeight="1">
      <x:c r="A31" s="74" t="str">
        <x:v>QA-026</x:v>
      </x:c>
      <x:c r="B31" s="74" t="str">
        <x:v>SEO</x:v>
      </x:c>
      <x:c r="C31" s="71" t="str">
        <x:v>Sitemap enviado a Google</x:v>
      </x:c>
      <x:c r="D31" s="71" t="str">
        <x:v>Sitemap publicado</x:v>
      </x:c>
      <x:c r="E31" s="71" t="str">
        <x:v>Enviar https://varome.cl/sitemap.xml en Search Console</x:v>
      </x:c>
      <x:c r="F31" s="71" t="str">
        <x:v>Google acepta el sitemap para procesamiento periódico</x:v>
      </x:c>
      <x:c r="G31" s="71" t="str">
        <x:v>Sitemap enviado correctamente</x:v>
      </x:c>
      <x:c r="H31" s="71" t="str">
        <x:v>https://github.com/mduque142-pixel/mduque142-pixel.github.io/blob/main/evidencias-qa/evidencias-qa-varome/qa-varome-16-sitemap.png</x:v>
      </x:c>
      <x:c r="I31" s="77" t="str">
        <x:v>Alta</x:v>
      </x:c>
      <x:c r="J31" s="77" t="str">
        <x:v>Aprobado</x:v>
      </x:c>
      <x:c r="K31" s="77" t="str">
        <x:v>Maira</x:v>
      </x:c>
      <x:c r="L31" s="71" t="str">
        <x:v> Referencia histórica: Captura image(20260928-230043).png. URL añadida el 09-10-2026.</x:v>
      </x:c>
    </x:row>
    <x:row r="32" ht="32.400001525878906" hidden="0" customHeight="1">
      <x:c r="A32" s="74" t="str">
        <x:v>QA-027</x:v>
      </x:c>
      <x:c r="B32" s="74" t="str">
        <x:v>SEO</x:v>
      </x:c>
      <x:c r="C32" s="71" t="str">
        <x:v>Archivo robots publicado</x:v>
      </x:c>
      <x:c r="D32" s="71" t="str">
        <x:v>Versión 8 del sitio publicada</x:v>
      </x:c>
      <x:c r="E32" s="71" t="str">
        <x:v>Abrir https://varome.cl/robots.txt</x:v>
      </x:c>
      <x:c r="F32" s="71" t="str">
        <x:v>El archivo permite el rastreo e informa la ubicación del sitemap</x:v>
      </x:c>
      <x:c r="G32" s="71" t="str">
        <x:v>robots.txt responde correctamente y permite el rastreo</x:v>
      </x:c>
      <x:c r="H32" s="71" t="str">
        <x:v>https://github.com/mduque142-pixel/mduque142-pixel.github.io/blob/main/evidencias-qa/evidencias-qa-varome/qa-varome-18-robots.png</x:v>
      </x:c>
      <x:c r="I32" s="77" t="str">
        <x:v>Alta</x:v>
      </x:c>
      <x:c r="J32" s="77" t="str">
        <x:v>Aprobado</x:v>
      </x:c>
      <x:c r="K32" s="77" t="str">
        <x:v>QA VAROME</x:v>
      </x:c>
      <x:c r="L32" s="71" t="str">
        <x:v> Evidencia revisada el 09-10-2026.</x:v>
      </x:c>
    </x:row>
    <x:row r="33" ht="32.400001525878906" hidden="0" customHeight="1">
      <x:c r="A33" s="75" t="str">
        <x:v>QA-028</x:v>
      </x:c>
      <x:c r="B33" s="75" t="str">
        <x:v>SEO</x:v>
      </x:c>
      <x:c r="C33" s="72" t="str">
        <x:v>Dirección canónica de la página principal</x:v>
      </x:c>
      <x:c r="D33" s="72" t="str">
        <x:v>Versión 8 del sitio publicada</x:v>
      </x:c>
      <x:c r="E33" s="72" t="str">
        <x:v>Revisar los metadatos de https://varome.cl/</x:v>
      </x:c>
      <x:c r="F33" s="72" t="str">
        <x:v>La página declara https://varome.cl/ como dirección canónica</x:v>
      </x:c>
      <x:c r="G33" s="72" t="str">
        <x:v>Dirección canónica configurada correctamente</x:v>
      </x:c>
      <x:c r="H33" s="72" t="str">
        <x:v>https://github.com/mduque142-pixel/mduque142-pixel.github.io/blob/main/evidencias-qa/evidencias-qa-varome/qa-varome-19-canonical.png</x:v>
      </x:c>
      <x:c r="I33" s="78" t="str">
        <x:v>Media</x:v>
      </x:c>
      <x:c r="J33" s="78" t="str">
        <x:v>Aprobado</x:v>
      </x:c>
      <x:c r="K33" s="78" t="str">
        <x:v>QA VAROME</x:v>
      </x:c>
      <x:c r="L33" s="72" t="str">
        <x:v> Evidencia revisada el 09-10-2026.</x:v>
      </x:c>
    </x:row>
    <x:row r="34" ht="105.5999984741211" hidden="0" customHeight="1">
      <x:c r="A34" s="79" t="str">
        <x:v>QA-029</x:v>
      </x:c>
      <x:c r="B34" s="79" t="str">
        <x:v>Identidad visual</x:v>
      </x:c>
      <x:c r="C34" s="79" t="str">
        <x:v>Disponibilidad de favicon</x:v>
      </x:c>
      <x:c r="D34" s="79" t="str">
        <x:v>Chrome normal e incógnito</x:v>
      </x:c>
      <x:c r="E34" s="79" t="str">
        <x:v>Abrir /favicon.ico y revisar consola</x:v>
      </x:c>
      <x:c r="F34" s="79" t="str">
        <x:v>Icono disponible en la ruta configurada</x:v>
      </x:c>
      <x:c r="G34" s="79" t="str">
        <x:v>Corregido: /favicon.ico responde HTTP 200 y entrega el icono del logo existente. Corrección publicada y validada.</x:v>
      </x:c>
      <x:c r="H34" s="79" t="str">
        <x:v>https://github.com/mduque142-pixel/mduque142-pixel.github.io/blob/main/evidencias-qa/evidencias-qa-varome/qa-varome-21-favicon-404.png
https://github.com/mduque142-pixel/mduque142-pixel.github.io/blob/main/evidencias-qa/evidencias-qa-varome/qa-varome-24-favicon-incognito.png</x:v>
      </x:c>
      <x:c r="I34" s="79" t="str">
        <x:v>Baja</x:v>
      </x:c>
      <x:c r="J34" s="79" t="str">
        <x:v>Aprobado</x:v>
      </x:c>
      <x:c r="K34" s="79" t="str">
        <x:v>QA VAROME</x:v>
      </x:c>
      <x:c r="L34" s="79" t="str">
        <x:v>20-10-2026: corrección publicada (v12). Antes: 404 y Not Found (evidencias 21 y 24). Después: favicon disponible; usuaria confirma evidencia 26 guardada.</x:v>
      </x:c>
    </x:row>
    <x:row r="35" ht="158.39999389648438" hidden="0" customHeight="1">
      <x:c r="A35" s="79" t="str">
        <x:v>QA-030</x:v>
      </x:c>
      <x:c r="B35" s="79" t="str">
        <x:v>Formulario</x:v>
      </x:c>
      <x:c r="C35" s="79" t="str">
        <x:v>Autocompletado de Región</x:v>
      </x:c>
      <x:c r="D35" s="79" t="str">
        <x:v>DevTools Issues en incógnito</x:v>
      </x:c>
      <x:c r="E35" s="79" t="str">
        <x:v>Abrir Violating node y revisar select name=region</x:v>
      </x:c>
      <x:c r="F35" s="79" t="str">
        <x:v>Atributo autocomplete adecuado a la finalidad del campo</x:v>
      </x:c>
      <x:c r="G35" s="79" t="str">
        <x:v>Corregido con autocomplete="off": Región corresponde a ubicación del proyecto. Se conservan required y las 16 regiones. Aviso de autocomplete desaparece en Chrome incógnito.</x:v>
      </x:c>
      <x:c r="H35" s="79" t="str">
        <x:v>https://github.com/mduque142-pixel/mduque142-pixel.github.io/blob/main/evidencias-qa/evidencias-qa-varome/qa-varome-23-region-autocomplete.png
https://github.com/mduque142-pixel/mduque142-pixel.github.io/blob/main/evidencias-qa/evidencias-qa-varome/qa-varome-27-region-antes-correccion.png
https://github.com/mduque142-pixel/mduque142-pixel.github.io/blob/main/evidencias-qa/evidencias-qa-varome/qa-varome-28-region-despues-correccion.png</x:v>
      </x:c>
      <x:c r="I35" s="79" t="str">
        <x:v>Baja</x:v>
      </x:c>
      <x:c r="J35" s="79" t="str">
        <x:v>Aprobado</x:v>
      </x:c>
      <x:c r="K35" s="79" t="str">
        <x:v>QA VAROME</x:v>
      </x:c>
      <x:c r="L35" s="79" t="str">
        <x:v>23-10-2026: publicada v13. Antes: select required sin autocomplete (evidencias 23 y 27). Después: aviso resuelto, confirmado por usuaria; evidencias 27 y 28 registradas en GitHub. Tres avisos Deprecated feature used permanecen y requieren revisión independiente.</x:v>
      </x:c>
    </x:row>
  </x:sheetData>
  <x:mergeCells>
    <x:mergeCell ref="A2:L2"/>
    <x:mergeCell ref="A3:L3"/>
  </x:mergeCells>
  <x:conditionalFormatting sqref="J6:J33">
    <x:cfRule type="containsText" dxfId="0" priority="1" operator="containsText" text="Aprobado"/>
    <x:cfRule type="containsText" dxfId="1" priority="2" operator="containsText" text="Pendiente"/>
    <x:cfRule type="containsText" dxfId="2" priority="3" operator="containsText" text="Fallido"/>
    <x:cfRule type="containsText" dxfId="3" priority="4" operator="containsText" text="Bloqueado"/>
  </x:conditionalFormatting>
  <x:dataValidations count="2">
    <x:dataValidation type="list" sqref="I6:I33">
      <x:formula1>"Crítica,Alta,Media,Baja"</x:formula1>
    </x:dataValidation>
    <x:dataValidation type="list" sqref="J6:J33">
      <x:formula1>"Aprobado,Pendiente,Fallido,Bloqueado"</x:formula1>
    </x:dataValidation>
  </x:dataValidations>
  <x:pageMargins left="0.7" right="0.7" top="0.75" bottom="0.75" header="0.3" footer="0.3"/>
</x:worksheet>
</file>