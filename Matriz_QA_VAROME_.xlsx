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duqu\Downloads\"/>
    </mc:Choice>
  </mc:AlternateContent>
  <xr:revisionPtr revIDLastSave="0" documentId="8_{4E2833CE-F7F8-45F5-ACFC-28C09724857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sumen" sheetId="1" r:id="rId1"/>
    <sheet name="Matriz Q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G6" i="1" s="1"/>
  <c r="C6" i="1"/>
</calcChain>
</file>

<file path=xl/sharedStrings.xml><?xml version="1.0" encoding="utf-8"?>
<sst xmlns="http://schemas.openxmlformats.org/spreadsheetml/2006/main" count="391" uniqueCount="267">
  <si>
    <t>Matriz QA del sitio web VAROME</t>
  </si>
  <si>
    <t>Actualización de evidencias y hallazgos al 09-10-2026</t>
  </si>
  <si>
    <t>Casos totales</t>
  </si>
  <si>
    <t>Casos aprobados</t>
  </si>
  <si>
    <t>Estado</t>
  </si>
  <si>
    <t>Cantidad</t>
  </si>
  <si>
    <t>Uso</t>
  </si>
  <si>
    <t>Resultado confirmado</t>
  </si>
  <si>
    <t>Aprobado</t>
  </si>
  <si>
    <t>Prueba completada</t>
  </si>
  <si>
    <t>Resultados dentro del alcance definido; revisar pendientes y hallazgos.</t>
  </si>
  <si>
    <t>Pendiente</t>
  </si>
  <si>
    <t>Criterio o corrección pendiente</t>
  </si>
  <si>
    <t>Fallido</t>
  </si>
  <si>
    <t>Resultado diferente al esperado</t>
  </si>
  <si>
    <t>Bloqueado</t>
  </si>
  <si>
    <t>No se puede ejecutar</t>
  </si>
  <si>
    <t>Revisión QA en seguimiento</t>
  </si>
  <si>
    <t>Pendientes: criterio de carga, favicon y autocompletado de Región. QA-016 y QA-017 conservan resultado histórico con respaldo técnico pendiente.</t>
  </si>
  <si>
    <t>Evidencia principal: image(20260928-221701).png — correo de prueba recibido el 28-09-2026.</t>
  </si>
  <si>
    <t>Casos de prueba del sitio web VAROME</t>
  </si>
  <si>
    <t>Actualizar las columnas Resultado actual, Evidencia, Estado y Observaciones después de cada prueba.</t>
  </si>
  <si>
    <t>ID</t>
  </si>
  <si>
    <t>Módulo</t>
  </si>
  <si>
    <t>Caso de prueba</t>
  </si>
  <si>
    <t>Precondición</t>
  </si>
  <si>
    <t>Pasos</t>
  </si>
  <si>
    <t>Resultado esperado</t>
  </si>
  <si>
    <t>Resultado actual</t>
  </si>
  <si>
    <t>Evidencia</t>
  </si>
  <si>
    <t>Prioridad</t>
  </si>
  <si>
    <t>Responsable</t>
  </si>
  <si>
    <t>Observaciones</t>
  </si>
  <si>
    <t>QA-001</t>
  </si>
  <si>
    <t>Acceso</t>
  </si>
  <si>
    <t>Carga del dominio principal</t>
  </si>
  <si>
    <t>Dominio publicado</t>
  </si>
  <si>
    <t>Abrir https://varome.cl</t>
  </si>
  <si>
    <t>El sitio carga mediante HTTPS sin errores</t>
  </si>
  <si>
    <t>El sitio cargó correctamente en varome.cl</t>
  </si>
  <si>
    <t>https://github.com/mduque142-pixel/mduque142-pixel.github.io/blob/main/evidencias-qa/evidencias-qa-varome/qa-varome-01-inicio.png</t>
  </si>
  <si>
    <t>Alta</t>
  </si>
  <si>
    <t>QA VAROME</t>
  </si>
  <si>
    <t>Referencia histórica: Verificación directa 28-09-2026. URL añadida el 09-10-2026.</t>
  </si>
  <si>
    <t>QA-002</t>
  </si>
  <si>
    <t>Certificado SSL activo</t>
  </si>
  <si>
    <t>Revisar la conexión HTTPS</t>
  </si>
  <si>
    <t>El navegador reconoce una conexión segura</t>
  </si>
  <si>
    <t>HTTPS activo durante la prueba</t>
  </si>
  <si>
    <t>QA-003</t>
  </si>
  <si>
    <t>Navegación</t>
  </si>
  <si>
    <t>Botón Solicitar cotización</t>
  </si>
  <si>
    <t>Página cargada</t>
  </si>
  <si>
    <t>Seleccionar Solicitar cotización</t>
  </si>
  <si>
    <t>La página se desplaza al formulario</t>
  </si>
  <si>
    <t>El formulario se abrió en #cotizacion</t>
  </si>
  <si>
    <t>https://github.com/mduque142-pixel/mduque142-pixel.github.io/blob/main/evidencias-qa/evidencias-qa-varome/qa-varome-03-formulario.png</t>
  </si>
  <si>
    <t>QA-004</t>
  </si>
  <si>
    <t>Enlaces del menú principal</t>
  </si>
  <si>
    <t>Probar Empresa, Servicios, Experiencia y Contacto</t>
  </si>
  <si>
    <t>Cada enlace lleva a la sección correcta</t>
  </si>
  <si>
    <t>Los enlaces abrieron correctamente Empresa, Servicios, Experiencia, Contacto y el formulario; el logo VAROME regresó al inicio</t>
  </si>
  <si>
    <t>https://github.com/mduque142-pixel/mduque142-pixel.github.io/blob/main/evidencias-qa/evidencias-qa-varome/qa-varome-02-menu.png</t>
  </si>
  <si>
    <t>Media</t>
  </si>
  <si>
    <t>Maira</t>
  </si>
  <si>
    <t>Navegación y retorno al inicio mediante el logo verificados en una misma sesión Referencia histórica: Capturas image(20260928-232754).png a image(20260928-233122).png. URL añadida el 09-10-2026.</t>
  </si>
  <si>
    <t>QA-005</t>
  </si>
  <si>
    <t>Formulario</t>
  </si>
  <si>
    <t>Visualización del formulario</t>
  </si>
  <si>
    <t>Sección cotización abierta</t>
  </si>
  <si>
    <t>Revisar campos y botón</t>
  </si>
  <si>
    <t>Todos los campos se muestran y son legibles</t>
  </si>
  <si>
    <t>Formulario visible con todos sus campos</t>
  </si>
  <si>
    <t>QA-006</t>
  </si>
  <si>
    <t>Envío con datos válidos</t>
  </si>
  <si>
    <t>Formulario disponible</t>
  </si>
  <si>
    <t>Completar obligatorios, aceptar autorización y enviar</t>
  </si>
  <si>
    <t>Se muestra confirmación y se genera el correo</t>
  </si>
  <si>
    <t>Mensaje: Solicitud enviada correctamente</t>
  </si>
  <si>
    <t>https://github.com/mduque142-pixel/mduque142-pixel.github.io/blob/main/evidencias-qa/evidencias-qa-varome/qa-varome-07-envio-exitoso.png</t>
  </si>
  <si>
    <t>Crítica</t>
  </si>
  <si>
    <t>Correo real de prueba Referencia histórica: Captura image(20260928-221701).png. URL añadida el 09-10-2026.</t>
  </si>
  <si>
    <t>QA-007</t>
  </si>
  <si>
    <t>Campos obligatorios vacíos</t>
  </si>
  <si>
    <t>Intentar enviar sin completar campos</t>
  </si>
  <si>
    <t>El formulario impide el envío e identifica los campos</t>
  </si>
  <si>
    <t>El envío fue bloqueado y el navegador mostró: Completa este campo</t>
  </si>
  <si>
    <t>https://github.com/mduque142-pixel/mduque142-pixel.github.io/blob/main/evidencias-qa/evidencias-qa-varome/qa-varome-04-obligatorios.png</t>
  </si>
  <si>
    <t>Validación mostrada en Nombre y apellido Referencia histórica: Captura image(20260928-230936).png. URL añadida el 09-10-2026.</t>
  </si>
  <si>
    <t>QA-008</t>
  </si>
  <si>
    <t>Formato de correo inválido</t>
  </si>
  <si>
    <t>Ingresar un correo con formato incorrecto</t>
  </si>
  <si>
    <t>El formulario impide el envío</t>
  </si>
  <si>
    <t>El envío fue bloqueado y el navegador indicó que la dirección no incluye el signo @</t>
  </si>
  <si>
    <t>https://github.com/mduque142-pixel/mduque142-pixel.github.io/blob/main/evidencias-qa/evidencias-qa-varome/qa-varome-05-correo-invalido.png</t>
  </si>
  <si>
    <t>Validación aplicada al campo Correo electrónico Referencia histórica: Capturas image(20260928-231340).png e image(20260928-231413).png. URL añadida el 09-10-2026.</t>
  </si>
  <si>
    <t>QA-009</t>
  </si>
  <si>
    <t>Autorización de datos obligatoria</t>
  </si>
  <si>
    <t>Formulario completo</t>
  </si>
  <si>
    <t>Enviar sin marcar la autorización</t>
  </si>
  <si>
    <t>Sin autorización, el navegador bloqueó el envío y solicitó marcar la casilla; con autorización, el envío fue exitoso</t>
  </si>
  <si>
    <t>https://github.com/mduque142-pixel/mduque142-pixel.github.io/blob/main/evidencias-qa/evidencias-qa-varome/qa-varome-06-autorizacion.png</t>
  </si>
  <si>
    <t>Reprueba aprobada después de la corrección publicada en la versión 9 Referencia histórica: Capturas image(20260928-232403).png e image(20260928-232450).png. URL añadida el 09-10-2026.</t>
  </si>
  <si>
    <t>QA-010</t>
  </si>
  <si>
    <t>Opciones de región</t>
  </si>
  <si>
    <t>Abrir y revisar el selector de región</t>
  </si>
  <si>
    <t>Las regiones de Chile están disponibles</t>
  </si>
  <si>
    <t>Selector incluye las regiones de Chile</t>
  </si>
  <si>
    <t>Verificación directa 28-09-2026</t>
  </si>
  <si>
    <t>QA-011</t>
  </si>
  <si>
    <t>Opciones de servicio</t>
  </si>
  <si>
    <t>Abrir el selector de servicio</t>
  </si>
  <si>
    <t>Las categorías definidas están disponibles</t>
  </si>
  <si>
    <t>Salas, tableros, estructuras y otro requerimiento visibles</t>
  </si>
  <si>
    <t>QA-012</t>
  </si>
  <si>
    <t>Correo</t>
  </si>
  <si>
    <t>Recepción en cotizaciones@varome.cl</t>
  </si>
  <si>
    <t>Envío válido realizado</t>
  </si>
  <si>
    <t>Revisar la bandeja del grupo</t>
  </si>
  <si>
    <t>El mensaje llega al grupo de cotizaciones</t>
  </si>
  <si>
    <t>Correo recibido correctamente</t>
  </si>
  <si>
    <t>https://github.com/mduque142-pixel/mduque142-pixel.github.io/blob/main/evidencias-qa/evidencias-qa-varome/qa-varome-08-correo-recibido.png</t>
  </si>
  <si>
    <t>Rolando y Rodrigo confirmaron recepción Referencia histórica: Captura image(20260928-221701).png. URL añadida el 09-10-2026.</t>
  </si>
  <si>
    <t>QA-013</t>
  </si>
  <si>
    <t>Distribución a Rolando y Rodrigo</t>
  </si>
  <si>
    <t>Grupo de correo configurado</t>
  </si>
  <si>
    <t>Confirmar recepción con ambos destinatarios</t>
  </si>
  <si>
    <t>Ambos integrantes reciben el correo</t>
  </si>
  <si>
    <t>Recepción confirmada por ambos</t>
  </si>
  <si>
    <t>Confirmación del equipo 28-09-2026</t>
  </si>
  <si>
    <t>QA-014</t>
  </si>
  <si>
    <t>Contenido del correo</t>
  </si>
  <si>
    <t>Correo recibido</t>
  </si>
  <si>
    <t>Comparar datos enviados con datos recibidos</t>
  </si>
  <si>
    <t>Asunto, contacto, región, servicio y descripción coinciden</t>
  </si>
  <si>
    <t>Los datos de prueba llegaron completos</t>
  </si>
  <si>
    <t>Referencia histórica: Captura image(20260928-221701).png. URL añadida el 09-10-2026.</t>
  </si>
  <si>
    <t>QA-015</t>
  </si>
  <si>
    <t>Responder al solicitante</t>
  </si>
  <si>
    <t>Seleccionar Responder</t>
  </si>
  <si>
    <t>La respuesta se dirige al correo ingresado por el cliente</t>
  </si>
  <si>
    <t>Al seleccionar Responder, el destinatario fue el correo del solicitante prueba@varome.cl</t>
  </si>
  <si>
    <t>https://github.com/mduque142-pixel/mduque142-pixel.github.io/blob/main/evidencias-qa/evidencias-qa-varome/qa-varome-09-responder.png</t>
  </si>
  <si>
    <t>Rolando / Rodrigo</t>
  </si>
  <si>
    <t>Reply-To verificado; no fue necesario enviar la respuesta Referencia histórica: Captura image(20260928-233503).png. URL añadida el 09-10-2026.</t>
  </si>
  <si>
    <t>QA-016</t>
  </si>
  <si>
    <t>Seguridad</t>
  </si>
  <si>
    <t>Clave de envío protegida</t>
  </si>
  <si>
    <t>Proyecto publicado</t>
  </si>
  <si>
    <t>Revisar configuración del entorno</t>
  </si>
  <si>
    <t>La clave no aparece en código ni en el navegador</t>
  </si>
  <si>
    <t>Clave instalada como secreto del sitio</t>
  </si>
  <si>
    <t>Configuración versión 7</t>
  </si>
  <si>
    <t>Pendiente adjuntar el registro técnico que respalda el resultado histórico.</t>
  </si>
  <si>
    <t>QA-017</t>
  </si>
  <si>
    <t>Control anti-bot</t>
  </si>
  <si>
    <t>Completar el campo trampa mediante una prueba técnica</t>
  </si>
  <si>
    <t>La solicitud automatizada se rechaza sin enviar correo</t>
  </si>
  <si>
    <t>El campo trampa fue completado en una solicitud técnica. El servidor devolvió una respuesta neutra y detuvo el flujo antes del servicio de correo.</t>
  </si>
  <si>
    <t>POST https://varome.cl/api/cotizacion — HTTP 200, mensaje «Solicitud recibida», validación técnica del 05-10-2026</t>
  </si>
  <si>
    <t>Honeypot verificado en producción; la solicitud automatizada no ingresó al flujo de envío. Pendiente adjuntar el registro técnico que respalda el resultado histórico.</t>
  </si>
  <si>
    <t>QA-018</t>
  </si>
  <si>
    <t>Compatibilidad</t>
  </si>
  <si>
    <t>Vista en teléfono móvil</t>
  </si>
  <si>
    <t>Teléfono con navegador actualizado</t>
  </si>
  <si>
    <t>Abrir y completar el formulario en pantalla móvil</t>
  </si>
  <si>
    <t>Contenido legible y controles utilizables</t>
  </si>
  <si>
    <t>En teléfono móvil, la portada se adapta correctamente; el botón Menú abre Empresa, Servicios, Experiencia, Contacto y Solicitar cotización. Al seleccionar una opción, el menú se cierra y muestra la sección correspondiente.</t>
  </si>
  <si>
    <t>https://github.com/mduque142-pixel/mduque142-pixel.github.io/blob/main/evidencias-qa/evidencias-qa-varome/qa-varome-10-movil-inicio.png</t>
  </si>
  <si>
    <t>Reprueba aprobada el 05-10-2026 en la versión 10; menú móvil visible, desplegable y navegación funcional. Referencia histórica: Capturas image(20261005-164127).png, image(20261005-164204).png e image(20261005-164227).png. URL añadida el 09-10-2026.</t>
  </si>
  <si>
    <t>QA-019</t>
  </si>
  <si>
    <t>Navegadores de escritorio</t>
  </si>
  <si>
    <t>Chrome, Edge y Firefox disponibles</t>
  </si>
  <si>
    <t>Abrir sitio y probar formulario en cada navegador</t>
  </si>
  <si>
    <t>Mismo comportamiento funcional y visual</t>
  </si>
  <si>
    <t>El sitio mantuvo el comportamiento visual y funcional en Chrome, Microsoft Edge y Mozilla Firefox. En Edge y Firefox el formulario se completó, mostró confirmación de envío y generó el correo correctamente.</t>
  </si>
  <si>
    <t>https://github.com/mduque142-pixel/mduque142-pixel.github.io/blob/main/evidencias-qa/evidencias-qa-varome/qa-varome-12-edge.png</t>
  </si>
  <si>
    <t>Compatibilidad de escritorio aprobada el 05-10-2026; navegación, formulario, confirmación y recepción verificadas. Referencia histórica: Chrome: verificaciones previas; Edge: image(20261005-165226).png, image(20261005-165612).png, image(20261005-165831).png e image(20261005-170010).png; Firefox: image(20261005-170814).png, image(20261005-170855).png, image(20261005-171120).png, image(20261005-171146).png e image(20261005-171304).png. URL añadida el 09-10-2026.</t>
  </si>
  <si>
    <t>QA-020</t>
  </si>
  <si>
    <t>Accesibilidad</t>
  </si>
  <si>
    <t>Uso mediante teclado</t>
  </si>
  <si>
    <t>Recorrer menú y formulario con Tab y Enter</t>
  </si>
  <si>
    <t>Foco visible y orden lógico en todos los controles</t>
  </si>
  <si>
    <t>La navegación mediante teclado mantuvo un orden lógico. El foco fue visible en el logo, enlaces del menú, botones y controles del formulario; fue posible avanzar y retroceder entre elementos sin utilizar el mouse.</t>
  </si>
  <si>
    <t>https://github.com/mduque142-pixel/mduque142-pixel.github.io/blob/main/evidencias-qa/evidencias-qa-varome/qa-varome-14-teclado.png</t>
  </si>
  <si>
    <t>Prueba aprobada el 05-10-2026; foco visible y recorrido funcional mediante Tab y Shift+Tab. Referencia histórica: Capturas image(20261005-172012).png, image(20261005-172054).png, image(20261005-172213).png, image(20261005-172244).png, image(20261005-172329).png e image(20261005-172504).png. URL añadida el 09-10-2026.</t>
  </si>
  <si>
    <t>QA-021</t>
  </si>
  <si>
    <t>Contenido</t>
  </si>
  <si>
    <t>Correos y textos visibles</t>
  </si>
  <si>
    <t>Revisar ortografía, correos y cobertura</t>
  </si>
  <si>
    <t>Los datos publicados son correctos y consistentes</t>
  </si>
  <si>
    <t>Los textos, correos y cobertura publicados son correctos y consistentes. Se verificó cobertura nacional, cotizaciones@varome.cl y contacto@varome.cl.</t>
  </si>
  <si>
    <t>Versión 11 publicada y validación en https://varome.cl/ el 05-10-2026</t>
  </si>
  <si>
    <t>Maira / QA VAROME</t>
  </si>
  <si>
    <t>Corrección publicada en versión 11: cobertura a lo largo de Chile y redacción técnica ajustada.</t>
  </si>
  <si>
    <t>QA-022</t>
  </si>
  <si>
    <t>Rendimiento</t>
  </si>
  <si>
    <t>Carga inicial</t>
  </si>
  <si>
    <t>Chrome; Disable cache activado; No throttling; conexión del equipo de prueba</t>
  </si>
  <si>
    <t>Recargar tres veces y registrar Load en Network</t>
  </si>
  <si>
    <t>Registrar Load; umbral de aceptación pendiente de definir</t>
  </si>
  <si>
    <t>09-10-2026: Load 4,67 s; 3,54 s; 4,64 s. Promedio 4,28 s; mediana 4,64 s.</t>
  </si>
  <si>
    <t>https://github.com/mduque142-pixel/mduque142-pixel.github.io/blob/main/evidencias-qa/evidencias-qa-varome/qa-varome-20-carga-01.png
https://github.com/mduque142-pixel/mduque142-pixel.github.io/blob/main/evidencias-qa/evidencias-qa-varome/qa-varome-20-carga-02.png
https://github.com/mduque142-pixel/mduque142-pixel.github.io/blob/main/evidencias-qa/evidencias-qa-varome/qa-varome-20-carga-03.png</t>
  </si>
  <si>
    <t>Baja</t>
  </si>
  <si>
    <t>Medición realizada; aprobación pendiente de criterio. No equivale a Core Web Vitals. Referencia histórica del 05-10-2026 (métrica no precisada): La página principal cargó de forma estable en tres repeticiones: 2.074 s, 1.191 s y 0.398 s. Promedio 1.221 s y mediana 1.191 s, sin errores propios del sitio.</t>
  </si>
  <si>
    <t>QA-023</t>
  </si>
  <si>
    <t>SEO</t>
  </si>
  <si>
    <t>Propiedad verificada en Google Search Console</t>
  </si>
  <si>
    <t>Acceso administrativo disponible</t>
  </si>
  <si>
    <t>Verificar la propiedad de dominio varome.cl</t>
  </si>
  <si>
    <t>Google reconoce la propiedad del dominio</t>
  </si>
  <si>
    <t>Propiedad verificada mediante proveedor de dominio</t>
  </si>
  <si>
    <t>https://github.com/mduque142-pixel/mduque142-pixel.github.io/blob/main/evidencias-qa/evidencias-qa-varome/qa-varome-15-search-console.png</t>
  </si>
  <si>
    <t>Registro DNS de verificación activo Referencia histórica: Captura image(20260928-224805).png. URL añadida el 09-10-2026.</t>
  </si>
  <si>
    <t>QA-024</t>
  </si>
  <si>
    <t>Solicitud de indexación de la página principal</t>
  </si>
  <si>
    <t>Propiedad verificada</t>
  </si>
  <si>
    <t>Inspeccionar https://varome.cl/ y solicitar indexación</t>
  </si>
  <si>
    <t>Google incorpora la URL a la cola prioritaria de rastreo</t>
  </si>
  <si>
    <t>Solicitud de indexación aceptada</t>
  </si>
  <si>
    <t>Captura image(20260928-225236).png</t>
  </si>
  <si>
    <t>No volver a solicitar mientras esté en proceso</t>
  </si>
  <si>
    <t>QA-025</t>
  </si>
  <si>
    <t>Archivo sitemap publicado</t>
  </si>
  <si>
    <t>Versión 8 del sitio publicada</t>
  </si>
  <si>
    <t>Abrir https://varome.cl/sitemap.xml</t>
  </si>
  <si>
    <t>El archivo XML responde y contiene la página principal</t>
  </si>
  <si>
    <t>Sitemap publicado con la URL canónica</t>
  </si>
  <si>
    <t>https://github.com/mduque142-pixel/mduque142-pixel.github.io/blob/main/evidencias-qa/evidencias-qa-varome/qa-varome-17-sitemap-xml.png</t>
  </si>
  <si>
    <t>Evidencia revisada el 09-10-2026.</t>
  </si>
  <si>
    <t>QA-026</t>
  </si>
  <si>
    <t>Sitemap enviado a Google</t>
  </si>
  <si>
    <t>Sitemap publicado</t>
  </si>
  <si>
    <t>Enviar https://varome.cl/sitemap.xml en Search Console</t>
  </si>
  <si>
    <t>Google acepta el sitemap para procesamiento periódico</t>
  </si>
  <si>
    <t>Sitemap enviado correctamente</t>
  </si>
  <si>
    <t>https://github.com/mduque142-pixel/mduque142-pixel.github.io/blob/main/evidencias-qa/evidencias-qa-varome/qa-varome-16-sitemap.png</t>
  </si>
  <si>
    <t>Referencia histórica: Captura image(20260928-230043).png. URL añadida el 09-10-2026.</t>
  </si>
  <si>
    <t>QA-027</t>
  </si>
  <si>
    <t>Archivo robots publicado</t>
  </si>
  <si>
    <t>Abrir https://varome.cl/robots.txt</t>
  </si>
  <si>
    <t>El archivo permite el rastreo e informa la ubicación del sitemap</t>
  </si>
  <si>
    <t>robots.txt responde correctamente y permite el rastreo</t>
  </si>
  <si>
    <t>https://github.com/mduque142-pixel/mduque142-pixel.github.io/blob/main/evidencias-qa/evidencias-qa-varome/qa-varome-18-robots.png</t>
  </si>
  <si>
    <t>QA-028</t>
  </si>
  <si>
    <t>Dirección canónica de la página principal</t>
  </si>
  <si>
    <t>Revisar los metadatos de https://varome.cl/</t>
  </si>
  <si>
    <t>La página declara https://varome.cl/ como dirección canónica</t>
  </si>
  <si>
    <t>Dirección canónica configurada correctamente</t>
  </si>
  <si>
    <t>https://github.com/mduque142-pixel/mduque142-pixel.github.io/blob/main/evidencias-qa/evidencias-qa-varome/qa-varome-19-canonical.png</t>
  </si>
  <si>
    <t>QA-029</t>
  </si>
  <si>
    <t>Identidad visual</t>
  </si>
  <si>
    <t>Disponibilidad de favicon</t>
  </si>
  <si>
    <t>Chrome normal e incógnito</t>
  </si>
  <si>
    <t>Abrir /favicon.ico y revisar consola</t>
  </si>
  <si>
    <t>Icono disponible en la ruta configurada</t>
  </si>
  <si>
    <t>GET /favicon.ico: 404 en consola; navegación directa en incógnito muestra Not Found</t>
  </si>
  <si>
    <t>https://github.com/mduque142-pixel/mduque142-pixel.github.io/blob/main/evidencias-qa/evidencias-qa-varome/qa-varome-21-favicon-404.png
https://github.com/mduque142-pixel/mduque142-pixel.github.io/blob/main/evidencias-qa/evidencias-qa-varome/qa-varome-24-favicon-incognito.png</t>
  </si>
  <si>
    <t>09-10-2026. Pendiente corregir y repetir. La advertencia feature_collector.js pertenece a McAfee WebAdvisor.</t>
  </si>
  <si>
    <t>QA-030</t>
  </si>
  <si>
    <t>Autocompletado de Región</t>
  </si>
  <si>
    <t>DevTools Issues en incógnito</t>
  </si>
  <si>
    <t>Abrir Violating node y revisar select name=region</t>
  </si>
  <si>
    <t>Atributo autocomplete adecuado a la finalidad del campo</t>
  </si>
  <si>
    <t>select name=region required sin autocomplete; aviso de Chrome</t>
  </si>
  <si>
    <t>https://github.com/mduque142-pixel/mduque142-pixel.github.io/blob/main/evidencias-qa/evidencias-qa-varome/qa-varome-23-region-autocomplete.png</t>
  </si>
  <si>
    <t>09-10-2026. Mejora pendiente; required presente. Definir si Región corresponde a ubicación del proyecto antes de elegir token de autocompletado.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</si>
</sst>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0A2540"/>
      <name val="Arial"/>
    </font>
    <font>
      <i/>
      <sz val="10"/>
      <color rgb="FF526775"/>
      <name val="Arial"/>
    </font>
    <font>
      <b/>
      <sz val="11"/>
      <color rgb="FF0A2540"/>
      <name val="Arial"/>
    </font>
    <font>
      <b/>
      <sz val="10"/>
      <color rgb="FFFFFFFF"/>
      <name val="Arial"/>
    </font>
    <font>
      <sz val="10"/>
      <color rgb="FF172B3A"/>
      <name val="Arial"/>
    </font>
    <font>
      <i/>
      <sz val="9"/>
      <color rgb="FF526775"/>
      <name val="Arial"/>
    </font>
    <font>
      <sz val="11"/>
      <name val="Arial"/>
    </font>
    <font>
      <b/>
      <sz val="15"/>
      <color rgb="FF0A2540"/>
      <name val="Arial"/>
    </font>
    <font>
      <sz val="9"/>
      <color rgb="FF172B3A"/>
      <name val="Arial"/>
    </font>
  </fonts>
  <fills count="6">
    <fill>
      <patternFill patternType="none"/>
    </fill>
    <fill>
      <patternFill patternType="gray125"/>
    </fill>
    <fill>
      <patternFill patternType="solid">
        <fgColor rgb="FFEAF4F8"/>
      </patternFill>
    </fill>
    <fill>
      <patternFill patternType="solid">
        <fgColor rgb="FF0A2540"/>
      </patternFill>
    </fill>
    <fill>
      <patternFill patternType="solid">
        <fgColor rgb="FFF3F6F8"/>
      </patternFill>
    </fill>
    <fill>
      <patternFill patternType="solid">
        <fgColor rgb="FF0D6EAA"/>
      </patternFill>
    </fill>
  </fills>
  <borders count="8">
    <border>
      <left/>
      <right/>
      <top/>
      <bottom/>
      <diagonal/>
    </border>
    <border>
      <left/>
      <right/>
      <top/>
      <bottom style="thin">
        <color rgb="FF18B7D6"/>
      </bottom>
      <diagonal/>
    </border>
    <border>
      <left/>
      <right/>
      <top/>
      <bottom style="thin">
        <color rgb="FFC9D5DD"/>
      </bottom>
      <diagonal/>
    </border>
    <border>
      <left/>
      <right/>
      <top style="thin">
        <color rgb="FFC9D5DD"/>
      </top>
      <bottom style="thin">
        <color rgb="FFC9D5DD"/>
      </bottom>
      <diagonal/>
    </border>
    <border>
      <left/>
      <right/>
      <top style="thin">
        <color rgb="FFC9D5DD"/>
      </top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4" fillId="3" borderId="0" xfId="0" applyFont="1" applyFill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9" fillId="0" borderId="2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9" fillId="0" borderId="2" xfId="0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 wrapText="1"/>
    </xf>
    <xf numFmtId="0" fontId="9" fillId="0" borderId="4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9" fontId="3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5" fillId="4" borderId="0" xfId="0" applyFont="1" applyFill="1" applyAlignment="1">
      <alignment vertical="center" wrapText="1"/>
    </xf>
    <xf numFmtId="0" fontId="4" fillId="5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/>
    <xf numFmtId="0" fontId="2" fillId="0" borderId="0" xfId="0" applyFont="1"/>
  </cellXfs>
  <cellStyles count="1">
    <cellStyle name="Normal" xfId="0" builtinId="0"/>
  </cellStyles>
  <dxfs count="4">
    <dxf>
      <font>
        <b/>
        <color rgb="FF5E3A87"/>
      </font>
      <fill>
        <patternFill>
          <bgColor rgb="FFE8E0F2"/>
        </patternFill>
      </fill>
    </dxf>
    <dxf>
      <font>
        <b/>
        <color rgb="FFA61B1B"/>
      </font>
      <fill>
        <patternFill>
          <bgColor rgb="FFFDE2E2"/>
        </patternFill>
      </fill>
    </dxf>
    <dxf>
      <font>
        <b/>
        <color rgb="FF8A5A00"/>
      </font>
      <fill>
        <patternFill>
          <bgColor rgb="FFFFF1CC"/>
        </patternFill>
      </fill>
    </dxf>
    <dxf>
      <font>
        <b/>
        <color rgb="FF17643A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A2540"/>
  </sheetPr>
  <dimension ref="A1:H24"/>
  <sheetViews>
    <sheetView showGridLines="0" tabSelected="1" workbookViewId="0"/>
  </sheetViews>
  <sheetFormatPr baseColWidth="10" defaultColWidth="8.6640625" defaultRowHeight="14"/>
  <cols>
    <col min="1" max="1" width="12" customWidth="1"/>
    <col min="2" max="2" width="24" customWidth="1"/>
    <col min="3" max="3" width="42" customWidth="1"/>
    <col min="4" max="4" width="12" customWidth="1"/>
    <col min="5" max="8" width="14" customWidth="1"/>
  </cols>
  <sheetData>
    <row r="1" spans="1:8">
      <c r="A1" s="12"/>
      <c r="B1" s="12"/>
      <c r="C1" s="12"/>
      <c r="D1" s="12"/>
      <c r="E1" s="12"/>
      <c r="F1" s="12"/>
      <c r="G1" s="12"/>
      <c r="H1" s="12"/>
    </row>
    <row r="2" spans="1:8" ht="28" customHeight="1">
      <c r="A2" s="27" t="s">
        <v>0</v>
      </c>
      <c r="B2" s="27"/>
      <c r="C2" s="27"/>
      <c r="D2" s="27"/>
      <c r="E2" s="27"/>
      <c r="F2" s="27"/>
      <c r="G2" s="27"/>
      <c r="H2" s="27"/>
    </row>
    <row r="3" spans="1:8">
      <c r="A3" s="28" t="s">
        <v>1</v>
      </c>
      <c r="B3" s="28"/>
      <c r="C3" s="28"/>
      <c r="D3" s="28"/>
      <c r="E3" s="28"/>
      <c r="F3" s="28"/>
      <c r="G3" s="28"/>
      <c r="H3" s="28"/>
    </row>
    <row r="4" spans="1:8">
      <c r="A4" s="13"/>
      <c r="B4" s="13"/>
      <c r="C4" s="13"/>
      <c r="D4" s="13"/>
      <c r="E4" s="13"/>
      <c r="F4" s="13"/>
      <c r="G4" s="13"/>
      <c r="H4" s="13"/>
    </row>
    <row r="5" spans="1:8">
      <c r="A5" s="12"/>
      <c r="B5" s="12"/>
      <c r="C5" s="12"/>
      <c r="D5" s="12"/>
      <c r="E5" s="12"/>
      <c r="F5" s="12"/>
      <c r="G5" s="12"/>
      <c r="H5" s="12"/>
    </row>
    <row r="6" spans="1:8">
      <c r="A6" s="29" t="s">
        <v>2</v>
      </c>
      <c r="B6" s="29"/>
      <c r="C6" s="30">
        <f>COUNTA('Matriz QA'!A6:A35)</f>
        <v>30</v>
      </c>
      <c r="D6" s="30"/>
      <c r="E6" s="29" t="s">
        <v>3</v>
      </c>
      <c r="F6" s="29"/>
      <c r="G6" s="31">
        <f>B10/C6</f>
        <v>0.9</v>
      </c>
      <c r="H6" s="31"/>
    </row>
    <row r="7" spans="1:8">
      <c r="A7" s="12"/>
      <c r="B7" s="12"/>
      <c r="C7" s="12"/>
      <c r="D7" s="12"/>
      <c r="E7" s="12"/>
      <c r="F7" s="12"/>
      <c r="G7" s="12"/>
      <c r="H7" s="12"/>
    </row>
    <row r="8" spans="1:8">
      <c r="A8" s="12"/>
      <c r="B8" s="12"/>
      <c r="C8" s="12"/>
      <c r="D8" s="12"/>
      <c r="E8" s="12"/>
      <c r="F8" s="12"/>
      <c r="G8" s="12"/>
      <c r="H8" s="12"/>
    </row>
    <row r="9" spans="1:8">
      <c r="A9" s="1" t="s">
        <v>4</v>
      </c>
      <c r="B9" s="1" t="s">
        <v>5</v>
      </c>
      <c r="C9" s="1" t="s">
        <v>6</v>
      </c>
      <c r="D9" s="12"/>
      <c r="E9" s="32" t="s">
        <v>7</v>
      </c>
      <c r="F9" s="32"/>
      <c r="G9" s="32"/>
      <c r="H9" s="32"/>
    </row>
    <row r="10" spans="1:8" ht="26" customHeight="1">
      <c r="A10" s="2" t="s">
        <v>8</v>
      </c>
      <c r="B10" s="5">
        <f>COUNTIF('Matriz QA'!J6:J35,A10)</f>
        <v>27</v>
      </c>
      <c r="C10" s="2" t="s">
        <v>9</v>
      </c>
      <c r="D10" s="12"/>
      <c r="E10" s="33" t="s">
        <v>10</v>
      </c>
      <c r="F10" s="33"/>
      <c r="G10" s="33"/>
      <c r="H10" s="33"/>
    </row>
    <row r="11" spans="1:8" ht="26" customHeight="1">
      <c r="A11" s="3" t="s">
        <v>11</v>
      </c>
      <c r="B11" s="6">
        <f>COUNTIF('Matriz QA'!J6:J35,A11)</f>
        <v>2</v>
      </c>
      <c r="C11" s="3" t="s">
        <v>12</v>
      </c>
      <c r="D11" s="12"/>
      <c r="E11" s="33"/>
      <c r="F11" s="33"/>
      <c r="G11" s="33"/>
      <c r="H11" s="33"/>
    </row>
    <row r="12" spans="1:8" ht="26" customHeight="1">
      <c r="A12" s="3" t="s">
        <v>13</v>
      </c>
      <c r="B12" s="6">
        <f>COUNTIF('Matriz QA'!J6:J35,A12)</f>
        <v>1</v>
      </c>
      <c r="C12" s="3" t="s">
        <v>14</v>
      </c>
      <c r="D12" s="12"/>
      <c r="E12" s="33"/>
      <c r="F12" s="33"/>
      <c r="G12" s="33"/>
      <c r="H12" s="33"/>
    </row>
    <row r="13" spans="1:8" ht="26" customHeight="1">
      <c r="A13" s="4" t="s">
        <v>15</v>
      </c>
      <c r="B13" s="7">
        <f>COUNTIF('Matriz QA'!J6:J35,A13)</f>
        <v>0</v>
      </c>
      <c r="C13" s="4" t="s">
        <v>16</v>
      </c>
      <c r="D13" s="12"/>
      <c r="E13" s="33"/>
      <c r="F13" s="33"/>
      <c r="G13" s="33"/>
      <c r="H13" s="33"/>
    </row>
    <row r="14" spans="1:8">
      <c r="A14" s="12"/>
      <c r="B14" s="12"/>
      <c r="C14" s="12"/>
      <c r="D14" s="12"/>
      <c r="E14" s="12"/>
      <c r="F14" s="12"/>
      <c r="G14" s="12"/>
      <c r="H14" s="12"/>
    </row>
    <row r="15" spans="1:8">
      <c r="A15" s="12"/>
      <c r="B15" s="12"/>
      <c r="C15" s="12"/>
      <c r="D15" s="12"/>
      <c r="E15" s="12"/>
      <c r="F15" s="12"/>
      <c r="G15" s="12"/>
      <c r="H15" s="12"/>
    </row>
    <row r="16" spans="1:8">
      <c r="A16" s="34" t="s">
        <v>17</v>
      </c>
      <c r="B16" s="34"/>
      <c r="C16" s="34"/>
      <c r="D16" s="34"/>
      <c r="E16" s="34"/>
      <c r="F16" s="34"/>
      <c r="G16" s="34"/>
      <c r="H16" s="34"/>
    </row>
    <row r="17" spans="1:8" ht="60" customHeight="1">
      <c r="A17" s="36" t="s">
        <v>18</v>
      </c>
      <c r="B17" s="37"/>
      <c r="C17" s="37"/>
      <c r="D17" s="37"/>
      <c r="E17" s="38"/>
      <c r="F17" s="38"/>
      <c r="G17" s="38"/>
      <c r="H17" s="38"/>
    </row>
    <row r="18" spans="1:8" ht="28" customHeight="1">
      <c r="A18" s="10"/>
      <c r="B18" s="8"/>
      <c r="C18" s="8"/>
      <c r="D18" s="8"/>
      <c r="E18" s="12"/>
      <c r="F18" s="12"/>
      <c r="G18" s="12"/>
      <c r="H18" s="12"/>
    </row>
    <row r="19" spans="1:8" ht="28" customHeight="1">
      <c r="A19" s="10"/>
      <c r="B19" s="8"/>
      <c r="C19" s="8"/>
      <c r="D19" s="8"/>
      <c r="E19" s="12"/>
      <c r="F19" s="12"/>
      <c r="G19" s="12"/>
      <c r="H19" s="12"/>
    </row>
    <row r="20" spans="1:8" ht="28" customHeight="1">
      <c r="A20" s="11"/>
      <c r="B20" s="9"/>
      <c r="C20" s="9"/>
      <c r="D20" s="9"/>
      <c r="E20" s="12"/>
      <c r="F20" s="12"/>
      <c r="G20" s="12"/>
      <c r="H20" s="12"/>
    </row>
    <row r="21" spans="1:8">
      <c r="A21" s="12"/>
      <c r="B21" s="12"/>
      <c r="C21" s="12"/>
      <c r="D21" s="12"/>
      <c r="E21" s="12"/>
      <c r="F21" s="12"/>
      <c r="G21" s="12"/>
      <c r="H21" s="12"/>
    </row>
    <row r="22" spans="1:8">
      <c r="A22" s="35" t="s">
        <v>19</v>
      </c>
      <c r="B22" s="35"/>
      <c r="C22" s="35"/>
      <c r="D22" s="35"/>
      <c r="E22" s="35"/>
      <c r="F22" s="35"/>
      <c r="G22" s="35"/>
      <c r="H22" s="35"/>
    </row>
    <row r="23" spans="1:8">
      <c r="A23" s="12"/>
      <c r="B23" s="12"/>
      <c r="C23" s="12"/>
      <c r="D23" s="12"/>
      <c r="E23" s="12"/>
      <c r="F23" s="12"/>
      <c r="G23" s="12"/>
      <c r="H23" s="12"/>
    </row>
    <row r="24" spans="1:8">
      <c r="A24" s="12"/>
      <c r="B24" s="12"/>
      <c r="C24" s="12"/>
      <c r="D24" s="12"/>
      <c r="E24" s="12"/>
      <c r="F24" s="12"/>
      <c r="G24" s="12"/>
      <c r="H24" s="12"/>
    </row>
  </sheetData>
  <mergeCells count="11">
    <mergeCell ref="E9:H9"/>
    <mergeCell ref="E10:H13"/>
    <mergeCell ref="A16:H16"/>
    <mergeCell ref="A22:H22"/>
    <mergeCell ref="A17:H17"/>
    <mergeCell ref="A2:H2"/>
    <mergeCell ref="A3:H3"/>
    <mergeCell ref="A6:B6"/>
    <mergeCell ref="C6:D6"/>
    <mergeCell ref="E6:F6"/>
    <mergeCell ref="G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D6EAA"/>
  </sheetPr>
  <dimension ref="A2:L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8.6640625" defaultRowHeight="14"/>
  <cols>
    <col min="1" max="1" width="11" customWidth="1"/>
    <col min="2" max="2" width="17" customWidth="1"/>
    <col min="3" max="3" width="28" customWidth="1"/>
    <col min="4" max="4" width="24" customWidth="1"/>
    <col min="5" max="7" width="34" customWidth="1"/>
    <col min="8" max="8" width="30" customWidth="1"/>
    <col min="9" max="9" width="11" customWidth="1"/>
    <col min="10" max="10" width="13" customWidth="1"/>
    <col min="11" max="11" width="18" customWidth="1"/>
    <col min="12" max="12" width="28" customWidth="1"/>
  </cols>
  <sheetData>
    <row r="2" spans="1:12" ht="19">
      <c r="A2" s="39" t="s">
        <v>20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>
      <c r="A3" s="40" t="s">
        <v>21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5" spans="1:12">
      <c r="A5" s="14" t="s">
        <v>22</v>
      </c>
      <c r="B5" s="15" t="s">
        <v>23</v>
      </c>
      <c r="C5" s="15" t="s">
        <v>24</v>
      </c>
      <c r="D5" s="15" t="s">
        <v>25</v>
      </c>
      <c r="E5" s="15" t="s">
        <v>26</v>
      </c>
      <c r="F5" s="15" t="s">
        <v>27</v>
      </c>
      <c r="G5" s="15" t="s">
        <v>28</v>
      </c>
      <c r="H5" s="15" t="s">
        <v>29</v>
      </c>
      <c r="I5" s="15" t="s">
        <v>30</v>
      </c>
      <c r="J5" s="15" t="s">
        <v>4</v>
      </c>
      <c r="K5" s="15" t="s">
        <v>31</v>
      </c>
      <c r="L5" s="16" t="s">
        <v>32</v>
      </c>
    </row>
    <row r="6" spans="1:12" ht="32.4" customHeight="1">
      <c r="A6" s="20" t="s">
        <v>33</v>
      </c>
      <c r="B6" s="20" t="s">
        <v>34</v>
      </c>
      <c r="C6" s="17" t="s">
        <v>35</v>
      </c>
      <c r="D6" s="17" t="s">
        <v>36</v>
      </c>
      <c r="E6" s="17" t="s">
        <v>37</v>
      </c>
      <c r="F6" s="17" t="s">
        <v>38</v>
      </c>
      <c r="G6" s="17" t="s">
        <v>39</v>
      </c>
      <c r="H6" s="17" t="s">
        <v>40</v>
      </c>
      <c r="I6" s="23" t="s">
        <v>41</v>
      </c>
      <c r="J6" s="23" t="s">
        <v>8</v>
      </c>
      <c r="K6" s="23" t="s">
        <v>42</v>
      </c>
      <c r="L6" s="17" t="s">
        <v>43</v>
      </c>
    </row>
    <row r="7" spans="1:12" ht="32.4" customHeight="1">
      <c r="A7" s="21" t="s">
        <v>44</v>
      </c>
      <c r="B7" s="21" t="s">
        <v>34</v>
      </c>
      <c r="C7" s="18" t="s">
        <v>45</v>
      </c>
      <c r="D7" s="18" t="s">
        <v>36</v>
      </c>
      <c r="E7" s="18" t="s">
        <v>46</v>
      </c>
      <c r="F7" s="18" t="s">
        <v>47</v>
      </c>
      <c r="G7" s="18" t="s">
        <v>48</v>
      </c>
      <c r="H7" s="18" t="s">
        <v>40</v>
      </c>
      <c r="I7" s="24" t="s">
        <v>41</v>
      </c>
      <c r="J7" s="24" t="s">
        <v>8</v>
      </c>
      <c r="K7" s="24" t="s">
        <v>42</v>
      </c>
      <c r="L7" s="18" t="s">
        <v>43</v>
      </c>
    </row>
    <row r="8" spans="1:12" ht="32.4" customHeight="1">
      <c r="A8" s="21" t="s">
        <v>49</v>
      </c>
      <c r="B8" s="21" t="s">
        <v>50</v>
      </c>
      <c r="C8" s="18" t="s">
        <v>51</v>
      </c>
      <c r="D8" s="18" t="s">
        <v>52</v>
      </c>
      <c r="E8" s="18" t="s">
        <v>53</v>
      </c>
      <c r="F8" s="18" t="s">
        <v>54</v>
      </c>
      <c r="G8" s="18" t="s">
        <v>55</v>
      </c>
      <c r="H8" s="18" t="s">
        <v>56</v>
      </c>
      <c r="I8" s="24" t="s">
        <v>41</v>
      </c>
      <c r="J8" s="24" t="s">
        <v>8</v>
      </c>
      <c r="K8" s="24" t="s">
        <v>42</v>
      </c>
      <c r="L8" s="18" t="s">
        <v>43</v>
      </c>
    </row>
    <row r="9" spans="1:12" ht="64.75" customHeight="1">
      <c r="A9" s="21" t="s">
        <v>57</v>
      </c>
      <c r="B9" s="21" t="s">
        <v>50</v>
      </c>
      <c r="C9" s="18" t="s">
        <v>58</v>
      </c>
      <c r="D9" s="18" t="s">
        <v>52</v>
      </c>
      <c r="E9" s="18" t="s">
        <v>59</v>
      </c>
      <c r="F9" s="18" t="s">
        <v>60</v>
      </c>
      <c r="G9" s="18" t="s">
        <v>61</v>
      </c>
      <c r="H9" s="18" t="s">
        <v>62</v>
      </c>
      <c r="I9" s="24" t="s">
        <v>63</v>
      </c>
      <c r="J9" s="24" t="s">
        <v>8</v>
      </c>
      <c r="K9" s="24" t="s">
        <v>64</v>
      </c>
      <c r="L9" s="18" t="s">
        <v>65</v>
      </c>
    </row>
    <row r="10" spans="1:12" ht="32.4" customHeight="1">
      <c r="A10" s="21" t="s">
        <v>66</v>
      </c>
      <c r="B10" s="21" t="s">
        <v>67</v>
      </c>
      <c r="C10" s="18" t="s">
        <v>68</v>
      </c>
      <c r="D10" s="18" t="s">
        <v>69</v>
      </c>
      <c r="E10" s="18" t="s">
        <v>70</v>
      </c>
      <c r="F10" s="18" t="s">
        <v>71</v>
      </c>
      <c r="G10" s="18" t="s">
        <v>72</v>
      </c>
      <c r="H10" s="18" t="s">
        <v>56</v>
      </c>
      <c r="I10" s="24" t="s">
        <v>41</v>
      </c>
      <c r="J10" s="24" t="s">
        <v>8</v>
      </c>
      <c r="K10" s="24" t="s">
        <v>42</v>
      </c>
      <c r="L10" s="18" t="s">
        <v>43</v>
      </c>
    </row>
    <row r="11" spans="1:12" ht="32.4" customHeight="1">
      <c r="A11" s="21" t="s">
        <v>73</v>
      </c>
      <c r="B11" s="21" t="s">
        <v>67</v>
      </c>
      <c r="C11" s="18" t="s">
        <v>74</v>
      </c>
      <c r="D11" s="18" t="s">
        <v>75</v>
      </c>
      <c r="E11" s="18" t="s">
        <v>76</v>
      </c>
      <c r="F11" s="18" t="s">
        <v>77</v>
      </c>
      <c r="G11" s="18" t="s">
        <v>78</v>
      </c>
      <c r="H11" s="18" t="s">
        <v>79</v>
      </c>
      <c r="I11" s="24" t="s">
        <v>80</v>
      </c>
      <c r="J11" s="24" t="s">
        <v>8</v>
      </c>
      <c r="K11" s="24" t="s">
        <v>42</v>
      </c>
      <c r="L11" s="18" t="s">
        <v>81</v>
      </c>
    </row>
    <row r="12" spans="1:12" ht="43.25" customHeight="1">
      <c r="A12" s="21" t="s">
        <v>82</v>
      </c>
      <c r="B12" s="21" t="s">
        <v>67</v>
      </c>
      <c r="C12" s="18" t="s">
        <v>83</v>
      </c>
      <c r="D12" s="18" t="s">
        <v>75</v>
      </c>
      <c r="E12" s="18" t="s">
        <v>84</v>
      </c>
      <c r="F12" s="18" t="s">
        <v>85</v>
      </c>
      <c r="G12" s="18" t="s">
        <v>86</v>
      </c>
      <c r="H12" s="18" t="s">
        <v>87</v>
      </c>
      <c r="I12" s="24" t="s">
        <v>41</v>
      </c>
      <c r="J12" s="24" t="s">
        <v>8</v>
      </c>
      <c r="K12" s="24" t="s">
        <v>64</v>
      </c>
      <c r="L12" s="18" t="s">
        <v>88</v>
      </c>
    </row>
    <row r="13" spans="1:12" ht="54" customHeight="1">
      <c r="A13" s="21" t="s">
        <v>89</v>
      </c>
      <c r="B13" s="21" t="s">
        <v>67</v>
      </c>
      <c r="C13" s="18" t="s">
        <v>90</v>
      </c>
      <c r="D13" s="18" t="s">
        <v>75</v>
      </c>
      <c r="E13" s="18" t="s">
        <v>91</v>
      </c>
      <c r="F13" s="18" t="s">
        <v>92</v>
      </c>
      <c r="G13" s="18" t="s">
        <v>93</v>
      </c>
      <c r="H13" s="18" t="s">
        <v>94</v>
      </c>
      <c r="I13" s="24" t="s">
        <v>41</v>
      </c>
      <c r="J13" s="24" t="s">
        <v>8</v>
      </c>
      <c r="K13" s="24" t="s">
        <v>64</v>
      </c>
      <c r="L13" s="18" t="s">
        <v>95</v>
      </c>
    </row>
    <row r="14" spans="1:12" ht="54" customHeight="1">
      <c r="A14" s="21" t="s">
        <v>96</v>
      </c>
      <c r="B14" s="21" t="s">
        <v>67</v>
      </c>
      <c r="C14" s="18" t="s">
        <v>97</v>
      </c>
      <c r="D14" s="18" t="s">
        <v>98</v>
      </c>
      <c r="E14" s="18" t="s">
        <v>99</v>
      </c>
      <c r="F14" s="18" t="s">
        <v>92</v>
      </c>
      <c r="G14" s="18" t="s">
        <v>100</v>
      </c>
      <c r="H14" s="18" t="s">
        <v>101</v>
      </c>
      <c r="I14" s="24" t="s">
        <v>41</v>
      </c>
      <c r="J14" s="24" t="s">
        <v>8</v>
      </c>
      <c r="K14" s="24" t="s">
        <v>64</v>
      </c>
      <c r="L14" s="18" t="s">
        <v>102</v>
      </c>
    </row>
    <row r="15" spans="1:12" ht="48" customHeight="1">
      <c r="A15" s="21" t="s">
        <v>103</v>
      </c>
      <c r="B15" s="21" t="s">
        <v>67</v>
      </c>
      <c r="C15" s="18" t="s">
        <v>104</v>
      </c>
      <c r="D15" s="18" t="s">
        <v>75</v>
      </c>
      <c r="E15" s="18" t="s">
        <v>105</v>
      </c>
      <c r="F15" s="18" t="s">
        <v>106</v>
      </c>
      <c r="G15" s="18" t="s">
        <v>107</v>
      </c>
      <c r="H15" s="18" t="s">
        <v>108</v>
      </c>
      <c r="I15" s="24" t="s">
        <v>63</v>
      </c>
      <c r="J15" s="24" t="s">
        <v>8</v>
      </c>
      <c r="K15" s="24" t="s">
        <v>42</v>
      </c>
      <c r="L15" s="18"/>
    </row>
    <row r="16" spans="1:12" ht="48" customHeight="1">
      <c r="A16" s="21" t="s">
        <v>109</v>
      </c>
      <c r="B16" s="21" t="s">
        <v>67</v>
      </c>
      <c r="C16" s="18" t="s">
        <v>110</v>
      </c>
      <c r="D16" s="18" t="s">
        <v>75</v>
      </c>
      <c r="E16" s="18" t="s">
        <v>111</v>
      </c>
      <c r="F16" s="18" t="s">
        <v>112</v>
      </c>
      <c r="G16" s="18" t="s">
        <v>113</v>
      </c>
      <c r="H16" s="18" t="s">
        <v>108</v>
      </c>
      <c r="I16" s="24" t="s">
        <v>63</v>
      </c>
      <c r="J16" s="24" t="s">
        <v>8</v>
      </c>
      <c r="K16" s="24" t="s">
        <v>42</v>
      </c>
      <c r="L16" s="18"/>
    </row>
    <row r="17" spans="1:12" ht="43.25" customHeight="1">
      <c r="A17" s="21" t="s">
        <v>114</v>
      </c>
      <c r="B17" s="21" t="s">
        <v>115</v>
      </c>
      <c r="C17" s="18" t="s">
        <v>116</v>
      </c>
      <c r="D17" s="18" t="s">
        <v>117</v>
      </c>
      <c r="E17" s="18" t="s">
        <v>118</v>
      </c>
      <c r="F17" s="18" t="s">
        <v>119</v>
      </c>
      <c r="G17" s="18" t="s">
        <v>120</v>
      </c>
      <c r="H17" s="18" t="s">
        <v>121</v>
      </c>
      <c r="I17" s="24" t="s">
        <v>80</v>
      </c>
      <c r="J17" s="24" t="s">
        <v>8</v>
      </c>
      <c r="K17" s="24" t="s">
        <v>64</v>
      </c>
      <c r="L17" s="18" t="s">
        <v>122</v>
      </c>
    </row>
    <row r="18" spans="1:12" ht="48" customHeight="1">
      <c r="A18" s="21" t="s">
        <v>123</v>
      </c>
      <c r="B18" s="21" t="s">
        <v>115</v>
      </c>
      <c r="C18" s="18" t="s">
        <v>124</v>
      </c>
      <c r="D18" s="18" t="s">
        <v>125</v>
      </c>
      <c r="E18" s="18" t="s">
        <v>126</v>
      </c>
      <c r="F18" s="18" t="s">
        <v>127</v>
      </c>
      <c r="G18" s="18" t="s">
        <v>128</v>
      </c>
      <c r="H18" s="18" t="s">
        <v>129</v>
      </c>
      <c r="I18" s="24" t="s">
        <v>80</v>
      </c>
      <c r="J18" s="24" t="s">
        <v>8</v>
      </c>
      <c r="K18" s="24" t="s">
        <v>64</v>
      </c>
      <c r="L18" s="18"/>
    </row>
    <row r="19" spans="1:12" ht="32.4" customHeight="1">
      <c r="A19" s="21" t="s">
        <v>130</v>
      </c>
      <c r="B19" s="21" t="s">
        <v>115</v>
      </c>
      <c r="C19" s="18" t="s">
        <v>131</v>
      </c>
      <c r="D19" s="18" t="s">
        <v>132</v>
      </c>
      <c r="E19" s="18" t="s">
        <v>133</v>
      </c>
      <c r="F19" s="18" t="s">
        <v>134</v>
      </c>
      <c r="G19" s="18" t="s">
        <v>135</v>
      </c>
      <c r="H19" s="18" t="s">
        <v>121</v>
      </c>
      <c r="I19" s="24" t="s">
        <v>41</v>
      </c>
      <c r="J19" s="24" t="s">
        <v>8</v>
      </c>
      <c r="K19" s="24" t="s">
        <v>42</v>
      </c>
      <c r="L19" s="18" t="s">
        <v>136</v>
      </c>
    </row>
    <row r="20" spans="1:12" ht="43.25" customHeight="1">
      <c r="A20" s="21" t="s">
        <v>137</v>
      </c>
      <c r="B20" s="21" t="s">
        <v>115</v>
      </c>
      <c r="C20" s="18" t="s">
        <v>138</v>
      </c>
      <c r="D20" s="18" t="s">
        <v>132</v>
      </c>
      <c r="E20" s="18" t="s">
        <v>139</v>
      </c>
      <c r="F20" s="18" t="s">
        <v>140</v>
      </c>
      <c r="G20" s="18" t="s">
        <v>141</v>
      </c>
      <c r="H20" s="18" t="s">
        <v>142</v>
      </c>
      <c r="I20" s="24" t="s">
        <v>41</v>
      </c>
      <c r="J20" s="24" t="s">
        <v>8</v>
      </c>
      <c r="K20" s="24" t="s">
        <v>143</v>
      </c>
      <c r="L20" s="18" t="s">
        <v>144</v>
      </c>
    </row>
    <row r="21" spans="1:12" ht="21.65" customHeight="1">
      <c r="A21" s="21" t="s">
        <v>145</v>
      </c>
      <c r="B21" s="21" t="s">
        <v>146</v>
      </c>
      <c r="C21" s="18" t="s">
        <v>147</v>
      </c>
      <c r="D21" s="18" t="s">
        <v>148</v>
      </c>
      <c r="E21" s="18" t="s">
        <v>149</v>
      </c>
      <c r="F21" s="18" t="s">
        <v>150</v>
      </c>
      <c r="G21" s="18" t="s">
        <v>151</v>
      </c>
      <c r="H21" s="18" t="s">
        <v>152</v>
      </c>
      <c r="I21" s="24" t="s">
        <v>80</v>
      </c>
      <c r="J21" s="24" t="s">
        <v>8</v>
      </c>
      <c r="K21" s="24" t="s">
        <v>42</v>
      </c>
      <c r="L21" s="18" t="s">
        <v>153</v>
      </c>
    </row>
    <row r="22" spans="1:12" ht="43.25" customHeight="1">
      <c r="A22" s="21" t="s">
        <v>154</v>
      </c>
      <c r="B22" s="21" t="s">
        <v>146</v>
      </c>
      <c r="C22" s="18" t="s">
        <v>155</v>
      </c>
      <c r="D22" s="18" t="s">
        <v>75</v>
      </c>
      <c r="E22" s="18" t="s">
        <v>156</v>
      </c>
      <c r="F22" s="18" t="s">
        <v>157</v>
      </c>
      <c r="G22" s="18" t="s">
        <v>158</v>
      </c>
      <c r="H22" s="18" t="s">
        <v>159</v>
      </c>
      <c r="I22" s="24" t="s">
        <v>63</v>
      </c>
      <c r="J22" s="24" t="s">
        <v>8</v>
      </c>
      <c r="K22" s="24" t="s">
        <v>42</v>
      </c>
      <c r="L22" s="18" t="s">
        <v>160</v>
      </c>
    </row>
    <row r="23" spans="1:12" ht="75.5" customHeight="1">
      <c r="A23" s="21" t="s">
        <v>161</v>
      </c>
      <c r="B23" s="21" t="s">
        <v>162</v>
      </c>
      <c r="C23" s="18" t="s">
        <v>163</v>
      </c>
      <c r="D23" s="18" t="s">
        <v>164</v>
      </c>
      <c r="E23" s="18" t="s">
        <v>165</v>
      </c>
      <c r="F23" s="18" t="s">
        <v>166</v>
      </c>
      <c r="G23" s="18" t="s">
        <v>167</v>
      </c>
      <c r="H23" s="18" t="s">
        <v>168</v>
      </c>
      <c r="I23" s="24" t="s">
        <v>41</v>
      </c>
      <c r="J23" s="24" t="s">
        <v>8</v>
      </c>
      <c r="K23" s="24" t="s">
        <v>64</v>
      </c>
      <c r="L23" s="18" t="s">
        <v>169</v>
      </c>
    </row>
    <row r="24" spans="1:12" ht="151.15" customHeight="1">
      <c r="A24" s="21" t="s">
        <v>170</v>
      </c>
      <c r="B24" s="21" t="s">
        <v>162</v>
      </c>
      <c r="C24" s="18" t="s">
        <v>171</v>
      </c>
      <c r="D24" s="18" t="s">
        <v>172</v>
      </c>
      <c r="E24" s="18" t="s">
        <v>173</v>
      </c>
      <c r="F24" s="18" t="s">
        <v>174</v>
      </c>
      <c r="G24" s="18" t="s">
        <v>175</v>
      </c>
      <c r="H24" s="18" t="s">
        <v>176</v>
      </c>
      <c r="I24" s="24" t="s">
        <v>63</v>
      </c>
      <c r="J24" s="24" t="s">
        <v>8</v>
      </c>
      <c r="K24" s="24" t="s">
        <v>64</v>
      </c>
      <c r="L24" s="18" t="s">
        <v>177</v>
      </c>
    </row>
    <row r="25" spans="1:12" ht="108" customHeight="1">
      <c r="A25" s="21" t="s">
        <v>178</v>
      </c>
      <c r="B25" s="21" t="s">
        <v>179</v>
      </c>
      <c r="C25" s="18" t="s">
        <v>180</v>
      </c>
      <c r="D25" s="18" t="s">
        <v>52</v>
      </c>
      <c r="E25" s="18" t="s">
        <v>181</v>
      </c>
      <c r="F25" s="18" t="s">
        <v>182</v>
      </c>
      <c r="G25" s="18" t="s">
        <v>183</v>
      </c>
      <c r="H25" s="18" t="s">
        <v>184</v>
      </c>
      <c r="I25" s="24" t="s">
        <v>63</v>
      </c>
      <c r="J25" s="24" t="s">
        <v>8</v>
      </c>
      <c r="K25" s="24" t="s">
        <v>64</v>
      </c>
      <c r="L25" s="18" t="s">
        <v>185</v>
      </c>
    </row>
    <row r="26" spans="1:12" ht="32.4" customHeight="1">
      <c r="A26" s="21" t="s">
        <v>186</v>
      </c>
      <c r="B26" s="21" t="s">
        <v>187</v>
      </c>
      <c r="C26" s="18" t="s">
        <v>188</v>
      </c>
      <c r="D26" s="18" t="s">
        <v>52</v>
      </c>
      <c r="E26" s="18" t="s">
        <v>189</v>
      </c>
      <c r="F26" s="18" t="s">
        <v>190</v>
      </c>
      <c r="G26" s="18" t="s">
        <v>191</v>
      </c>
      <c r="H26" s="18" t="s">
        <v>192</v>
      </c>
      <c r="I26" s="24" t="s">
        <v>63</v>
      </c>
      <c r="J26" s="24" t="s">
        <v>8</v>
      </c>
      <c r="K26" s="24" t="s">
        <v>193</v>
      </c>
      <c r="L26" s="18" t="s">
        <v>194</v>
      </c>
    </row>
    <row r="27" spans="1:12" ht="97.15" customHeight="1">
      <c r="A27" s="21" t="s">
        <v>195</v>
      </c>
      <c r="B27" s="21" t="s">
        <v>196</v>
      </c>
      <c r="C27" s="18" t="s">
        <v>197</v>
      </c>
      <c r="D27" s="18" t="s">
        <v>198</v>
      </c>
      <c r="E27" s="18" t="s">
        <v>199</v>
      </c>
      <c r="F27" s="18" t="s">
        <v>200</v>
      </c>
      <c r="G27" s="18" t="s">
        <v>201</v>
      </c>
      <c r="H27" s="18" t="s">
        <v>202</v>
      </c>
      <c r="I27" s="24" t="s">
        <v>203</v>
      </c>
      <c r="J27" s="24" t="s">
        <v>11</v>
      </c>
      <c r="K27" s="24" t="s">
        <v>42</v>
      </c>
      <c r="L27" s="18" t="s">
        <v>204</v>
      </c>
    </row>
    <row r="28" spans="1:12" ht="43.25" customHeight="1">
      <c r="A28" s="21" t="s">
        <v>205</v>
      </c>
      <c r="B28" s="21" t="s">
        <v>206</v>
      </c>
      <c r="C28" s="18" t="s">
        <v>207</v>
      </c>
      <c r="D28" s="18" t="s">
        <v>208</v>
      </c>
      <c r="E28" s="18" t="s">
        <v>209</v>
      </c>
      <c r="F28" s="18" t="s">
        <v>210</v>
      </c>
      <c r="G28" s="18" t="s">
        <v>211</v>
      </c>
      <c r="H28" s="18" t="s">
        <v>212</v>
      </c>
      <c r="I28" s="24" t="s">
        <v>41</v>
      </c>
      <c r="J28" s="24" t="s">
        <v>8</v>
      </c>
      <c r="K28" s="24" t="s">
        <v>64</v>
      </c>
      <c r="L28" s="18" t="s">
        <v>213</v>
      </c>
    </row>
    <row r="29" spans="1:12" ht="15" customHeight="1">
      <c r="A29" s="21" t="s">
        <v>214</v>
      </c>
      <c r="B29" s="21" t="s">
        <v>206</v>
      </c>
      <c r="C29" s="18" t="s">
        <v>215</v>
      </c>
      <c r="D29" s="18" t="s">
        <v>216</v>
      </c>
      <c r="E29" s="18" t="s">
        <v>217</v>
      </c>
      <c r="F29" s="18" t="s">
        <v>218</v>
      </c>
      <c r="G29" s="18" t="s">
        <v>219</v>
      </c>
      <c r="H29" s="18" t="s">
        <v>220</v>
      </c>
      <c r="I29" s="24" t="s">
        <v>41</v>
      </c>
      <c r="J29" s="24" t="s">
        <v>8</v>
      </c>
      <c r="K29" s="24" t="s">
        <v>64</v>
      </c>
      <c r="L29" s="18" t="s">
        <v>221</v>
      </c>
    </row>
    <row r="30" spans="1:12" ht="32.4" customHeight="1">
      <c r="A30" s="21" t="s">
        <v>222</v>
      </c>
      <c r="B30" s="21" t="s">
        <v>206</v>
      </c>
      <c r="C30" s="18" t="s">
        <v>223</v>
      </c>
      <c r="D30" s="18" t="s">
        <v>224</v>
      </c>
      <c r="E30" s="18" t="s">
        <v>225</v>
      </c>
      <c r="F30" s="18" t="s">
        <v>226</v>
      </c>
      <c r="G30" s="18" t="s">
        <v>227</v>
      </c>
      <c r="H30" s="18" t="s">
        <v>228</v>
      </c>
      <c r="I30" s="24" t="s">
        <v>41</v>
      </c>
      <c r="J30" s="24" t="s">
        <v>8</v>
      </c>
      <c r="K30" s="24" t="s">
        <v>42</v>
      </c>
      <c r="L30" s="18" t="s">
        <v>229</v>
      </c>
    </row>
    <row r="31" spans="1:12" ht="32.4" customHeight="1">
      <c r="A31" s="21" t="s">
        <v>230</v>
      </c>
      <c r="B31" s="21" t="s">
        <v>206</v>
      </c>
      <c r="C31" s="18" t="s">
        <v>231</v>
      </c>
      <c r="D31" s="18" t="s">
        <v>232</v>
      </c>
      <c r="E31" s="18" t="s">
        <v>233</v>
      </c>
      <c r="F31" s="18" t="s">
        <v>234</v>
      </c>
      <c r="G31" s="18" t="s">
        <v>235</v>
      </c>
      <c r="H31" s="18" t="s">
        <v>236</v>
      </c>
      <c r="I31" s="24" t="s">
        <v>41</v>
      </c>
      <c r="J31" s="24" t="s">
        <v>8</v>
      </c>
      <c r="K31" s="24" t="s">
        <v>64</v>
      </c>
      <c r="L31" s="18" t="s">
        <v>237</v>
      </c>
    </row>
    <row r="32" spans="1:12" ht="32.4" customHeight="1">
      <c r="A32" s="21" t="s">
        <v>238</v>
      </c>
      <c r="B32" s="21" t="s">
        <v>206</v>
      </c>
      <c r="C32" s="18" t="s">
        <v>239</v>
      </c>
      <c r="D32" s="18" t="s">
        <v>224</v>
      </c>
      <c r="E32" s="18" t="s">
        <v>240</v>
      </c>
      <c r="F32" s="18" t="s">
        <v>241</v>
      </c>
      <c r="G32" s="18" t="s">
        <v>242</v>
      </c>
      <c r="H32" s="18" t="s">
        <v>243</v>
      </c>
      <c r="I32" s="24" t="s">
        <v>41</v>
      </c>
      <c r="J32" s="24" t="s">
        <v>8</v>
      </c>
      <c r="K32" s="24" t="s">
        <v>42</v>
      </c>
      <c r="L32" s="18" t="s">
        <v>229</v>
      </c>
    </row>
    <row r="33" spans="1:12" ht="32.4" customHeight="1">
      <c r="A33" s="22" t="s">
        <v>244</v>
      </c>
      <c r="B33" s="22" t="s">
        <v>206</v>
      </c>
      <c r="C33" s="19" t="s">
        <v>245</v>
      </c>
      <c r="D33" s="19" t="s">
        <v>224</v>
      </c>
      <c r="E33" s="19" t="s">
        <v>246</v>
      </c>
      <c r="F33" s="19" t="s">
        <v>247</v>
      </c>
      <c r="G33" s="19" t="s">
        <v>248</v>
      </c>
      <c r="H33" s="19" t="s">
        <v>249</v>
      </c>
      <c r="I33" s="25" t="s">
        <v>63</v>
      </c>
      <c r="J33" s="25" t="s">
        <v>8</v>
      </c>
      <c r="K33" s="25" t="s">
        <v>42</v>
      </c>
      <c r="L33" s="19" t="s">
        <v>229</v>
      </c>
    </row>
    <row r="34" spans="1:12" ht="105.5" customHeight="1">
      <c r="A34" s="26" t="s">
        <v>250</v>
      </c>
      <c r="B34" s="26" t="s">
        <v>251</v>
      </c>
      <c r="C34" s="26" t="s">
        <v>252</v>
      </c>
      <c r="D34" s="26" t="s">
        <v>253</v>
      </c>
      <c r="E34" s="26" t="s">
        <v>254</v>
      </c>
      <c r="F34" s="26" t="s">
        <v>255</v>
      </c>
      <c r="G34" s="26" t="s">
        <v>256</v>
      </c>
      <c r="H34" s="26" t="s">
        <v>257</v>
      </c>
      <c r="I34" s="26" t="s">
        <v>203</v>
      </c>
      <c r="J34" s="26" t="s">
        <v>13</v>
      </c>
      <c r="K34" s="26" t="s">
        <v>42</v>
      </c>
      <c r="L34" s="26" t="s">
        <v>258</v>
      </c>
    </row>
    <row r="35" spans="1:12" ht="66" customHeight="1">
      <c r="A35" s="26" t="s">
        <v>259</v>
      </c>
      <c r="B35" s="26" t="s">
        <v>67</v>
      </c>
      <c r="C35" s="26" t="s">
        <v>260</v>
      </c>
      <c r="D35" s="26" t="s">
        <v>261</v>
      </c>
      <c r="E35" s="26" t="s">
        <v>262</v>
      </c>
      <c r="F35" s="26" t="s">
        <v>263</v>
      </c>
      <c r="G35" s="26" t="s">
        <v>264</v>
      </c>
      <c r="H35" s="26" t="s">
        <v>265</v>
      </c>
      <c r="I35" s="26" t="s">
        <v>203</v>
      </c>
      <c r="J35" s="26" t="s">
        <v>11</v>
      </c>
      <c r="K35" s="26" t="s">
        <v>42</v>
      </c>
      <c r="L35" s="26" t="s">
        <v>266</v>
      </c>
    </row>
  </sheetData>
  <mergeCells count="2">
    <mergeCell ref="A2:L2"/>
    <mergeCell ref="A3:L3"/>
  </mergeCells>
  <conditionalFormatting sqref="J6:J33">
    <cfRule type="containsText" dxfId="3" priority="1" operator="containsText" text="Aprobado"/>
    <cfRule type="containsText" dxfId="2" priority="2" operator="containsText" text="Pendiente"/>
    <cfRule type="containsText" dxfId="1" priority="3" operator="containsText" text="Fallido"/>
    <cfRule type="containsText" dxfId="0" priority="4" operator="containsText" text="Bloqueado"/>
  </conditionalFormatting>
  <dataValidations count="2">
    <dataValidation type="list" sqref="I6:I33" xr:uid="{00000000-0002-0000-0100-000000000000}">
      <formula1>"Crítica,Alta,Media,Baja"</formula1>
    </dataValidation>
    <dataValidation type="list" sqref="J6:J33" xr:uid="{00000000-0002-0000-0100-000001000000}">
      <formula1>"Aprobado,Pendiente,Fallido,Bloqueado"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Matriz QA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maira alejandra duque quintero</cp:lastModifiedBy>
  <dcterms:created xsi:type="dcterms:W3CDTF">2026-10-09T20:49:27Z</dcterms:created>
  <dcterms:modified xsi:type="dcterms:W3CDTF">2026-10-09T20:49:27Z</dcterms:modified>
</cp:coreProperties>
</file>